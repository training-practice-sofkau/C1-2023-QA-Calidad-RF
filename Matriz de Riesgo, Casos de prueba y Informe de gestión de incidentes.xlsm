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iguel-PC\Desktop\SofkaTraining\Reto Final Calidad\"/>
    </mc:Choice>
  </mc:AlternateContent>
  <xr:revisionPtr revIDLastSave="0" documentId="13_ncr:1_{8D5D435D-4B14-4FAC-8A1E-468991C4C177}" xr6:coauthVersionLast="47" xr6:coauthVersionMax="47" xr10:uidLastSave="{00000000-0000-0000-0000-000000000000}"/>
  <bookViews>
    <workbookView xWindow="-120" yWindow="-120" windowWidth="29040" windowHeight="15720" activeTab="4" xr2:uid="{AF02FBB8-0A87-4B34-9297-94FCF679C14E}"/>
  </bookViews>
  <sheets>
    <sheet name="Matriz de Riesgo" sheetId="6" r:id="rId1"/>
    <sheet name="CPTempetatura" sheetId="4" r:id="rId2"/>
    <sheet name="CPCalculadora" sheetId="13" r:id="rId3"/>
    <sheet name="CPTiendaKOAJ" sheetId="14" r:id="rId4"/>
    <sheet name="InformeGestionIncidentes" sheetId="9" r:id="rId5"/>
  </sheets>
  <definedNames>
    <definedName name="Accion">'Matriz de Riesgo'!$X$3:$X$6</definedName>
    <definedName name="Numero">'Matriz de Riesgo'!$W$3:$W$7</definedName>
    <definedName name="Tipo">'Matriz de Riesgo'!$V$3:$V$4</definedName>
    <definedName name="Tipos">'Matriz de Riesgo'!$V$3:$V$4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c r="G29" i="6" l="1"/>
  <c r="H29" i="6" s="1"/>
  <c r="G30" i="6"/>
  <c r="H30" i="6" s="1"/>
  <c r="G31" i="6"/>
  <c r="H31" i="6" s="1"/>
  <c r="G32" i="6"/>
  <c r="H32" i="6" s="1"/>
  <c r="G23" i="6"/>
  <c r="H23" i="6" s="1"/>
  <c r="G24" i="6"/>
  <c r="H24" i="6" s="1"/>
  <c r="G25" i="6"/>
  <c r="H25" i="6" s="1"/>
  <c r="G26" i="6"/>
  <c r="H26" i="6" s="1"/>
  <c r="G27" i="6"/>
  <c r="H27" i="6" s="1"/>
  <c r="G28" i="6"/>
  <c r="H28" i="6" s="1"/>
  <c r="G5" i="6"/>
  <c r="H5" i="6" s="1"/>
  <c r="G6" i="6"/>
  <c r="H6" i="6" s="1"/>
  <c r="G7" i="6"/>
  <c r="H7" i="6" s="1"/>
  <c r="G8" i="6"/>
  <c r="H8" i="6" s="1"/>
  <c r="G9" i="6"/>
  <c r="H9" i="6"/>
  <c r="G10" i="6"/>
  <c r="H10" i="6"/>
  <c r="G11" i="6"/>
  <c r="H11" i="6" s="1"/>
  <c r="G12" i="6"/>
  <c r="H12" i="6"/>
  <c r="G13" i="6"/>
  <c r="H13" i="6" s="1"/>
  <c r="G14" i="6"/>
  <c r="H14" i="6"/>
  <c r="G15" i="6"/>
  <c r="H15" i="6" s="1"/>
  <c r="G16" i="6"/>
  <c r="H16" i="6" s="1"/>
  <c r="G17" i="6"/>
  <c r="H17" i="6"/>
  <c r="G18" i="6"/>
  <c r="H18" i="6" s="1"/>
  <c r="G19" i="6"/>
  <c r="H19" i="6" s="1"/>
  <c r="G20" i="6"/>
  <c r="H20" i="6"/>
  <c r="G21" i="6"/>
  <c r="H21" i="6" s="1"/>
  <c r="G22" i="6"/>
  <c r="H22" i="6" s="1"/>
  <c r="G3" i="6"/>
  <c r="G4" i="6"/>
  <c r="H4" i="6" s="1"/>
</calcChain>
</file>

<file path=xl/sharedStrings.xml><?xml version="1.0" encoding="utf-8"?>
<sst xmlns="http://schemas.openxmlformats.org/spreadsheetml/2006/main" count="663" uniqueCount="309">
  <si>
    <t>N°</t>
  </si>
  <si>
    <t>Descripción</t>
  </si>
  <si>
    <t>Impacto</t>
  </si>
  <si>
    <t>Tipo</t>
  </si>
  <si>
    <t>Probabilidad de ocurrencia</t>
  </si>
  <si>
    <t>Severidad</t>
  </si>
  <si>
    <t>Nivel de riesgo</t>
  </si>
  <si>
    <t>Acción</t>
  </si>
  <si>
    <t>Plan de Acción</t>
  </si>
  <si>
    <t>Producto</t>
  </si>
  <si>
    <t>Ignorar</t>
  </si>
  <si>
    <t>Mitigar</t>
  </si>
  <si>
    <t>Contener</t>
  </si>
  <si>
    <t>Transferir</t>
  </si>
  <si>
    <t>Feature:</t>
  </si>
  <si>
    <t>Scenario:</t>
  </si>
  <si>
    <t xml:space="preserve">Given </t>
  </si>
  <si>
    <t xml:space="preserve">When </t>
  </si>
  <si>
    <t xml:space="preserve">Then </t>
  </si>
  <si>
    <t>ESTADO</t>
  </si>
  <si>
    <t>Proyecto</t>
  </si>
  <si>
    <t>Método Gherkin:</t>
  </si>
  <si>
    <r>
      <rPr>
        <b/>
        <sz val="14"/>
        <color theme="1"/>
        <rFont val="Calibri"/>
        <family val="2"/>
        <scheme val="minor"/>
      </rPr>
      <t>ID:</t>
    </r>
    <r>
      <rPr>
        <sz val="14"/>
        <color theme="1"/>
        <rFont val="Calibri"/>
        <family val="2"/>
        <scheme val="minor"/>
      </rPr>
      <t xml:space="preserve"> BUG1</t>
    </r>
  </si>
  <si>
    <r>
      <rPr>
        <b/>
        <sz val="14"/>
        <color theme="1"/>
        <rFont val="Calibri"/>
        <family val="2"/>
        <scheme val="minor"/>
      </rPr>
      <t>Autor:</t>
    </r>
    <r>
      <rPr>
        <sz val="14"/>
        <color theme="1"/>
        <rFont val="Calibri"/>
        <family val="2"/>
        <scheme val="minor"/>
      </rPr>
      <t xml:space="preserve"> Miguel Molina</t>
    </r>
  </si>
  <si>
    <r>
      <rPr>
        <b/>
        <sz val="14"/>
        <color theme="1"/>
        <rFont val="Calibri"/>
        <family val="2"/>
        <scheme val="minor"/>
      </rPr>
      <t>Versión:</t>
    </r>
    <r>
      <rPr>
        <sz val="14"/>
        <color theme="1"/>
        <rFont val="Calibri"/>
        <family val="2"/>
        <scheme val="minor"/>
      </rPr>
      <t xml:space="preserve"> V1.0</t>
    </r>
  </si>
  <si>
    <r>
      <rPr>
        <b/>
        <sz val="14"/>
        <color theme="1"/>
        <rFont val="Calibri"/>
        <family val="2"/>
        <scheme val="minor"/>
      </rPr>
      <t>Fase:</t>
    </r>
    <r>
      <rPr>
        <sz val="14"/>
        <color theme="1"/>
        <rFont val="Calibri"/>
        <family val="2"/>
        <scheme val="minor"/>
      </rPr>
      <t xml:space="preserve"> Operación</t>
    </r>
  </si>
  <si>
    <r>
      <rPr>
        <b/>
        <sz val="14"/>
        <color theme="1"/>
        <rFont val="Calibri"/>
        <family val="2"/>
        <scheme val="minor"/>
      </rPr>
      <t xml:space="preserve">Estado: </t>
    </r>
    <r>
      <rPr>
        <sz val="14"/>
        <color theme="1"/>
        <rFont val="Calibri"/>
        <family val="2"/>
        <scheme val="minor"/>
      </rPr>
      <t>Por hacer</t>
    </r>
  </si>
  <si>
    <r>
      <rPr>
        <b/>
        <sz val="14"/>
        <color theme="1"/>
        <rFont val="Calibri"/>
        <family val="2"/>
        <scheme val="minor"/>
      </rPr>
      <t>Alcance/Impacto:</t>
    </r>
    <r>
      <rPr>
        <sz val="14"/>
        <color theme="1"/>
        <rFont val="Calibri"/>
        <family val="2"/>
        <scheme val="minor"/>
      </rPr>
      <t xml:space="preserve"> 1</t>
    </r>
  </si>
  <si>
    <r>
      <rPr>
        <b/>
        <sz val="14"/>
        <color theme="1"/>
        <rFont val="Calibri"/>
        <family val="2"/>
      </rPr>
      <t>Historial:</t>
    </r>
    <r>
      <rPr>
        <sz val="14"/>
        <color theme="1"/>
        <rFont val="Calibri"/>
        <family val="2"/>
      </rPr>
      <t xml:space="preserve">
</t>
    </r>
    <r>
      <rPr>
        <sz val="14"/>
        <color theme="1"/>
        <rFont val="Calibri"/>
        <family val="2"/>
        <scheme val="minor"/>
      </rPr>
      <t>Miguel Molina -&gt; (Por hacer)</t>
    </r>
  </si>
  <si>
    <t>Informe de Defectos Servicios</t>
  </si>
  <si>
    <r>
      <rPr>
        <b/>
        <i/>
        <sz val="10"/>
        <color theme="1"/>
        <rFont val="Calibri"/>
        <family val="2"/>
        <scheme val="minor"/>
      </rPr>
      <t xml:space="preserve">Nota: </t>
    </r>
    <r>
      <rPr>
        <i/>
        <sz val="10"/>
        <color theme="1"/>
        <rFont val="Calibri"/>
        <family val="2"/>
        <scheme val="minor"/>
      </rPr>
      <t>la escala de prioridad va de 1 a 5, donde 1 es prioridad mínima y 5 es máxima. Y la escala de impacto es igual a la presentada en los riesgos (1 despreciable - 5 catastrófico).</t>
    </r>
  </si>
  <si>
    <t>Release</t>
  </si>
  <si>
    <t>Numero</t>
  </si>
  <si>
    <t>Matriz de Riesgo</t>
  </si>
  <si>
    <t>Evaluación detallada de los requisitos del proyecto y la definición clara y temprana de los límites del alcance del proyecto.</t>
  </si>
  <si>
    <t>Evaluación de los recursos necesarios para el proyecto y el monitoreo constante de la asignación de recursos.</t>
  </si>
  <si>
    <t xml:space="preserve"> Planificación detallada del proyecto, la asignación de plazos realistas y alcanzables, y la realización regular de revisiones de progreso del proyecto para asegurar el cumplimiento de los plazos.</t>
  </si>
  <si>
    <t>Crear un ambiente de trabajo en el que los miembros del equipo se sientan cómodos y seguros para expresar sus ideas y opiniones.</t>
  </si>
  <si>
    <t>Inconsistencia en la calidad del contenido, imágenes y diseño que podrían afectar negativamente la experiencia del usuario de la tienda.</t>
  </si>
  <si>
    <t>Problemas de seguridad que pueden comprometer la privacidad de los usuarios o los datos de la tienda.</t>
  </si>
  <si>
    <t>Fallos en la integración de los sistemas de pago, lo que podría afectar las ventas y la satisfacción del cliente.</t>
  </si>
  <si>
    <t>Problemas con la disponibilidad y rendimiento del servidor, lo que podría causar una mala experiencia de usuario y la pérdida de ventas.</t>
  </si>
  <si>
    <t>Problemas de compatibilidad con diferentes navegadores y dispositivos que podrían reducir el alcance de la audiencia.</t>
  </si>
  <si>
    <t>Falta de capacidad para manejar un alto tráfico de visitas y ventas, lo que podría afectar la rentabilidad de la tienda.</t>
  </si>
  <si>
    <t>Problemas de usabilidad y accesibilidad que podrían impedir que los usuarios interactúen con el sitio web de manera efectiva.</t>
  </si>
  <si>
    <t>Problemas con la funcionalidad de la página web en diferentes idiomas y regiones, lo que podría limitar la capacidad de la tienda para llegar a una audiencia global.</t>
  </si>
  <si>
    <t>Inestabilidad en la implementación de nuevas funcionalidades, lo que podría afectar la operatividad del sitio web.</t>
  </si>
  <si>
    <t>Fallos en la implementación de la estrategia de marketing digital, lo que podría afectar la visibilidad y el posicionamiento de la tienda.</t>
  </si>
  <si>
    <t>Dificultades en la gestión y el mantenimiento del contenido, lo que podría provocar errores y fallos en el sitio web.</t>
  </si>
  <si>
    <t>Problemas de escalabilidad que podrían impedir el crecimiento futuro del sitio web de la tienda.</t>
  </si>
  <si>
    <t>Fallos en la gestión del tráfico y la carga de la página web, lo que podría afectar la velocidad de carga y la experiencia del usuario</t>
  </si>
  <si>
    <t>Falta de planificación adecuada del proyecto, lo que podría llevar a retrasos en la entrega y aumento de los costos.</t>
  </si>
  <si>
    <t>Cambios frecuentes en los requisitos del proyecto, lo que podría afectar negativamente la calidad del producto final y aumentar los costos.</t>
  </si>
  <si>
    <t xml:space="preserve">Problemas de comunicación entre los miembros del equipo, lo que podría llevar a malentendidos y retrasos en el proyecto. </t>
  </si>
  <si>
    <t>Problemas con el presupuesto y la gestión de los recursos financieros, lo que podría limitar la capacidad del equipo para completar el proyecto.</t>
  </si>
  <si>
    <t>Falta de experiencia y habilidades necesarias en el equipo, lo que podría afectar la calidad del trabajo y la eficiencia del proyecto.</t>
  </si>
  <si>
    <t>Problemas con la gestión de la calidad, lo que podría afectar la satisfacción del cliente y la imagen de la empresa</t>
  </si>
  <si>
    <t>Problemas de dependencias, como la falta de cumplimiento de los compromisos por parte de los proveedores o los terceros, lo que podría afectar al ritmo del proyecto.</t>
  </si>
  <si>
    <t>Falta de coordinación entre los diferentes equipos que trabajan en el proyecto puede ocasionar retrasos en la entrega del producto, aumentar los costos, y provocar la insatisfacción del cliente.</t>
  </si>
  <si>
    <t>establecer estándares claros para la calidad de los contenidos, las imágenes y el diseño, y se debe contar con un equipo dedicado para realizar pruebas y revisar el contenido antes de que se publique.</t>
  </si>
  <si>
    <t>Problemas con el soporte técnico  lo que podría afectar la satisfacción del usuario y la reputación de la tienda.</t>
  </si>
  <si>
    <t>implementación de un sistema de gestión de la calidad, la capacitación del personal en técnicas de control de calidad, la realización de auditorías periódicas y la recopilación y análisis de comentarios de los clientes.</t>
  </si>
  <si>
    <t>realización de una evaluación exhaustiva de los proveedores y terceros antes de la contratación, la inclusión de cláusulas específicas en los contratos que establezcan los plazos y las responsabilidades de los proveedores y terceros, y la implementación de un proceso de seguimiento regular para asegurarse de que los proveedores y terceros cumplen con los compromisos establecidos.</t>
  </si>
  <si>
    <t>Creación de un plan de proyecto detallado que establezca plazos y responsabilidades claras para cada equipo, la designación de un líder de proyecto para supervisar el progreso y la comunicación regular y efectiva entre los equipos</t>
  </si>
  <si>
    <t>Implementación de un plan de contingencia para manejar cualquier interrupción o retraso causado por problemas de hardware o equipos, incluyendo el establecimiento de planes de respaldo y el monitoreo constante del rendimiento de los equipos.</t>
  </si>
  <si>
    <t>Implementación de medidas de seguridad apropiadas, como la encriptación de datos, la autenticación de usuarios, el monitoreo de redes y la realización de auditorías de seguridad regulares. También se pueden establecer políticas de seguridad claras y capacitar al personal para manejar la información de manera segura.</t>
  </si>
  <si>
    <t xml:space="preserve"> Implementación de pruebas rigurosas y extensas de los sistemas de pago antes de su lanzamiento y la realización de pruebas periódicas para asegurarse de que sigan funcionando correctamente.</t>
  </si>
  <si>
    <t>Implementación de un plan de contingencia que establezca los pasos a seguir en caso de una interrupción en el servidor y cómo se notificará a los usuarios afectados.</t>
  </si>
  <si>
    <t>realización de pruebas en una variedad de navegadores y dispositivos para identificar y solucionar problemas de compatibilidad antes del lanzamiento de la aplicación.</t>
  </si>
  <si>
    <t>implementación de un plan de contingencia para reducir el impacto de la carga elevada del sitio, como la implementación de una lista de espera para los usuarios, la limitación del acceso a ciertas funcionalidades no esenciales del sitio, o la implementación de un sistema de alerta temprana para detectar problemas de rendimiento.</t>
  </si>
  <si>
    <t>Implementar un diseño y arquitectura de información intuitivos y sencillos de navegar para los usuarios.
Realizar pruebas de usabilidad y accesibilidad con usuarios reales para detectar y solucionar problemas.</t>
  </si>
  <si>
    <t>Los dueños de la tienda deben asegurarse de contar con un equipo de soporte técnico capacitado y con las habilidades necesarias para atender las necesidades de los usuarios.</t>
  </si>
  <si>
    <t xml:space="preserve">establecer un proceso de pruebas y validación de cada nueva funcionalidad antes de ser implementada en producción. </t>
  </si>
  <si>
    <t>Establecer un equipo de control de calidad que supervise y realice pruebas exhaustivas en todo el contenido antes de su publicación.</t>
  </si>
  <si>
    <t>Establecer un plan de crecimiento escalable y una arquitectura flexible que permita agregar recursos y funcionalidades sin afectar el rendimiento del sitio web</t>
  </si>
  <si>
    <t>Una forma de contener este riesgo es limitando la cantidad de aplicaciones de terceros integradas en el sitio web y asegurándose de que solo se utilicen aplicaciones de confianza y bien establecidas.</t>
  </si>
  <si>
    <t>Contratar servicios de hospedaje y servidores que puedan manejar un alto volumen de tráfico y que estén diseñados para asegurar la disponibilidad y la velocidad de carga del sitio web.</t>
  </si>
  <si>
    <t>Contratar servicios de asesoría o consultoría en marketing digital, si se requiere, para obtener apoyo adicional y asegurar la implementación adecuada de la estrategia.</t>
  </si>
  <si>
    <t>Servicio SOAP Conversión de Temperatura.</t>
  </si>
  <si>
    <t>CP-001</t>
  </si>
  <si>
    <t>Yo como usuario del servicio de conversión</t>
  </si>
  <si>
    <t>Pendiente</t>
  </si>
  <si>
    <t>CP-002</t>
  </si>
  <si>
    <t>CP-003</t>
  </si>
  <si>
    <t>CP-004</t>
  </si>
  <si>
    <t>Verificar el mensaje de error al ingresar un carácter especial</t>
  </si>
  <si>
    <t>CP-005</t>
  </si>
  <si>
    <t>@ValoresAlfabeticosC</t>
  </si>
  <si>
    <t>@ValoresVaciosC</t>
  </si>
  <si>
    <t>@CarecteresEspecialesC</t>
  </si>
  <si>
    <t>@ValorValidoC</t>
  </si>
  <si>
    <t>@ValorDecimalC</t>
  </si>
  <si>
    <t>@ValoresAlfabeticosF</t>
  </si>
  <si>
    <t>CP-006</t>
  </si>
  <si>
    <t>@ValoresVaciosF</t>
  </si>
  <si>
    <t>CP-007</t>
  </si>
  <si>
    <t>@CarecteresEspecialesF</t>
  </si>
  <si>
    <t>CP-008</t>
  </si>
  <si>
    <t>@ValorValidoF</t>
  </si>
  <si>
    <t>CP-009</t>
  </si>
  <si>
    <t>@ValorDecimalF</t>
  </si>
  <si>
    <t>CP-010</t>
  </si>
  <si>
    <t>Servicio SOAP Calculadora de enteros.</t>
  </si>
  <si>
    <t>CP-011</t>
  </si>
  <si>
    <t>Realizar suma de enteros</t>
  </si>
  <si>
    <t>Yo como usuario del servicio de la calculadora de enteros</t>
  </si>
  <si>
    <t>Quiero poder realizar una operación de suma de enteros</t>
  </si>
  <si>
    <t>que el usuario tiene acceso al servicio para realizar una suma de enteros</t>
  </si>
  <si>
    <t>CP-012</t>
  </si>
  <si>
    <t>@SumaPositivos</t>
  </si>
  <si>
    <t>@SumaNegativos</t>
  </si>
  <si>
    <t>@SumaNegativoYPositivo</t>
  </si>
  <si>
    <t>CP-013</t>
  </si>
  <si>
    <t>@RestaPositivos</t>
  </si>
  <si>
    <t>Realizar resta de enteros</t>
  </si>
  <si>
    <t>que el usuario tiene acceso al servicio para realizar una resta de enteros</t>
  </si>
  <si>
    <t>CP-014</t>
  </si>
  <si>
    <t>CP-015</t>
  </si>
  <si>
    <t>CP-016</t>
  </si>
  <si>
    <t>@RestaNegativos</t>
  </si>
  <si>
    <t>@RestaNegativoYPositivo</t>
  </si>
  <si>
    <t>Realizar multiplicación de enteros</t>
  </si>
  <si>
    <t>Quiero poder realizar una operación de multiplicación de enteros</t>
  </si>
  <si>
    <t>Quiero poder realizar una operación de resta de enteros</t>
  </si>
  <si>
    <t>@MultiplicaciónEnteros</t>
  </si>
  <si>
    <t>CP-017</t>
  </si>
  <si>
    <t>que el usuario tiene acceso al servicio para realizar una multiplicación de enteros</t>
  </si>
  <si>
    <t>@MultiplicaciónNoNumericos</t>
  </si>
  <si>
    <t>CP-018</t>
  </si>
  <si>
    <t>CP-019</t>
  </si>
  <si>
    <t>@MultiplicaciónPorCero</t>
  </si>
  <si>
    <t>Verificar la respuesta al realizar una multiplicación por cero</t>
  </si>
  <si>
    <t>CP-020</t>
  </si>
  <si>
    <t>Quiero poder realizar una operación de división de enteros</t>
  </si>
  <si>
    <t>@DivisiónEnteros</t>
  </si>
  <si>
    <t>Realizar división de enteros</t>
  </si>
  <si>
    <t>que el usuario tiene acceso al servicio para realizar una división de enteros</t>
  </si>
  <si>
    <t>@DivisiónEntreCero</t>
  </si>
  <si>
    <t>CP-021</t>
  </si>
  <si>
    <t>Verificar la respuesta correcta al realizar una división entre cero</t>
  </si>
  <si>
    <t>Estado</t>
  </si>
  <si>
    <t xml:space="preserve">Abierto </t>
  </si>
  <si>
    <t>Identificar quiénes son los miembros críticos del equipo y desarrollar un plan de contingencia en caso de que alguno de ellos no esté disponible. Esto podría incluir la asignación de responsabilidades a otros miembros del equipo o la contratación de un recurso temporal.</t>
  </si>
  <si>
    <t>Si es posible, contratar personal adicional para ayudar en el proyecto. Esto podría incluir la contratación de personal de tiempo completo o contratistas a corto plazo.</t>
  </si>
  <si>
    <t>Problemas personales de los integrantes del proyecto lo que puede afectar en la productividad y en los tiempos de entrega</t>
  </si>
  <si>
    <t>Proporcionar cierta flexibilidad a los miembros del equipo puede ayudarles a equilibrar sus compromisos personales y profesionales. Esto puede incluir ofrecer horarios de trabajo flexibles o permitir el trabajo remoto en caso de necesidad.</t>
  </si>
  <si>
    <t xml:space="preserve">Problemas con la integración de aplicaciones de terceros, como pse, nequi, sistecredito etc. Lo que podría afectar en las ventas de la tienda </t>
  </si>
  <si>
    <t>Requisitos mal definidos o confusos lo que podría ocasionar perdidas de esfuerzo y recursos y problemas en el alcance del proyecto</t>
  </si>
  <si>
    <t xml:space="preserve">Reuniones de revisión periódicas para asegurarse que el proyecto esta en línea con lo establecido en las requisitos </t>
  </si>
  <si>
    <t xml:space="preserve">Informar a los directores de proyecto para que evalúen las necesidades de contratación de personal con experiencia o la asignación de recursos para la capacitación. </t>
  </si>
  <si>
    <t xml:space="preserve">Problemas con hardware y equipos lo que podría ocasionar interrupciones en el desarrollo del proyecto, retrasos en las entregas y disminuir la calidad del producto.  </t>
  </si>
  <si>
    <t>Enfermedad o accidente que requiera incapacidad de alguno de los integrantes del proyecto lo que podría afectar el ritmo del proyecto</t>
  </si>
  <si>
    <t xml:space="preserve">Falta de herramientas necesarios como licencias de software de desarrollo o de pruebas lo que podría ocasionar demora en la ejecución de actividades </t>
  </si>
  <si>
    <t>Asegurarse de que todas las herramientas necesarias estén disponibles antes de comenzar las actividades. Planifique la adquisición o renovación de herramientas con anticipación para evitar retrasos.</t>
  </si>
  <si>
    <t xml:space="preserve">La falta de personal suficiente para el proyecto podría afectar que los tiempos de entrega pactados se vean afectos </t>
  </si>
  <si>
    <t>Falta de prevención de los costos indirectos del proyecto lo que podría ocasionar problemas financieros y afectar la ejecución de las tareas.</t>
  </si>
  <si>
    <t>Se podría ignorar este riesgo ya que la probabilidad de ocurrencia es muy baja y la tienda esta enfocada en ventas en Colombia</t>
  </si>
  <si>
    <t>Monitorear y controlar los costos indirectos del proyecto regularmente para asegurarse de que se mantengan dentro del presupuesto previsto y así Identificar cualquier desviación y tomar medidas para corregir de inmediato.</t>
  </si>
  <si>
    <t>Convertir temperatura de Celsius a Fahrenheit</t>
  </si>
  <si>
    <t>Descripción:</t>
  </si>
  <si>
    <t>Quiero hacer conversiones de temperatura de grados Celsius a Fahrenheit</t>
  </si>
  <si>
    <t>Para realizar cálculos en diferentes sistemas de unidades</t>
  </si>
  <si>
    <t>Verificar el mensaje de error al ingresar un valor alfabético</t>
  </si>
  <si>
    <t>que el usuario tiene acceso al servicio para hacer una conversión de Celsius a Fahrenheit</t>
  </si>
  <si>
    <t xml:space="preserve">envía una solicitud con un dato de tipo alfabético </t>
  </si>
  <si>
    <t>Verificar el mensaje de error al dejar el campo requerido vacío</t>
  </si>
  <si>
    <t>envía una solicitud con el dato requerido vacío</t>
  </si>
  <si>
    <t>envía una solicitud con un carácter especial</t>
  </si>
  <si>
    <t>Verificar que al ingresar un valor valido en Celsius, la respuesta sea la equivalente en Fahrenheit</t>
  </si>
  <si>
    <t>envía una solicitud con un valor valido en grados Celsius</t>
  </si>
  <si>
    <t>deberá recibir una respuesta equivalente en grados Fahrenheit</t>
  </si>
  <si>
    <t>Verificar que al ingresar un valor valido decimal en Celsius, la respuesta sea la equivalente en Fahrenheit</t>
  </si>
  <si>
    <t>envía una solicitud con un valor valido decimal en grados Celsius</t>
  </si>
  <si>
    <t>Convertir temperatura de Fahrenheit a Celsius</t>
  </si>
  <si>
    <t>Quiero hacer conversiones de temperatura de grados Fahrenheit a Celsius</t>
  </si>
  <si>
    <t>que el usuario tiene acceso al servicio para hacer una conversión de Fahrenheit a Celsius</t>
  </si>
  <si>
    <t>Verificar que al ingresar un valor valido en Fahrenheit, la respuesta sea la equivalente en Celsius</t>
  </si>
  <si>
    <t>envía una solicitud con un valor valido en grados Fahrenheit</t>
  </si>
  <si>
    <t>deberá recibir una respuesta equivalente en grados Celsius</t>
  </si>
  <si>
    <t>Verificar que al ingresar un valor valido decimal en Fahrenheit, la respuesta sea la equivalente en Celsius</t>
  </si>
  <si>
    <t>envía una solicitud con un valor valido decimal en grados Fahrenheit</t>
  </si>
  <si>
    <t>Para realizar cálculos numéricos</t>
  </si>
  <si>
    <t>Verificar la respuesta correcta al ingresar dos números enteros</t>
  </si>
  <si>
    <t xml:space="preserve">envía una solicitud con dos datos enteros </t>
  </si>
  <si>
    <t>deberá recibir una respuesta con el resultado de la división correspondiente</t>
  </si>
  <si>
    <t>envía una solicitud con el dato del divisor como cero</t>
  </si>
  <si>
    <t>Verificar la respuesta correcta al ingresar dos números enteros positivos</t>
  </si>
  <si>
    <t>envía una solicitud con dos datos enteros positivos</t>
  </si>
  <si>
    <t>deberá recibir una respuesta con el resultado de suma correspondiente</t>
  </si>
  <si>
    <t>Verificar la respuesta correcta al ingresar dos números enteros negativos</t>
  </si>
  <si>
    <t>envía una solicitud con dos datos enteros negativos</t>
  </si>
  <si>
    <t>Verificar la respuesta correcta al ingresar un números negativo y uno positivo</t>
  </si>
  <si>
    <t>envía una solicitud con un numero entero negativo y un numero entero positivo</t>
  </si>
  <si>
    <t>deberá recibir una respuesta con el resultado de la resta correspondiente</t>
  </si>
  <si>
    <t>deberá recibir una respuesta con el resultado de resta correspondiente</t>
  </si>
  <si>
    <t>deberá recibir una respuesta con el resultado de la multiplicación correspondiente</t>
  </si>
  <si>
    <t>Verificar el mensaje de error al ingresar valores no numéricos</t>
  </si>
  <si>
    <t>envía una solicitud con dos datos no numéricos</t>
  </si>
  <si>
    <t>envía una solicitud con un dato entero y un dato de cero</t>
  </si>
  <si>
    <t>Flujo de compra tienda KOAJ.</t>
  </si>
  <si>
    <t>Yo como cliente de tiendas KOAJ</t>
  </si>
  <si>
    <t xml:space="preserve">Quiero poder realizar compras en línea </t>
  </si>
  <si>
    <t>Para poder adquirir los productos de la tienda sin tener que ir físicamente</t>
  </si>
  <si>
    <t>@ProductoSinTallaDisponible</t>
  </si>
  <si>
    <t>CP-022</t>
  </si>
  <si>
    <t>And</t>
  </si>
  <si>
    <t xml:space="preserve">Verificar que no sea posible agregar productos al carrito si la talla seleccionada no esta disponible </t>
  </si>
  <si>
    <t>Verificar que se agregue correctamente los productos al carrito</t>
  </si>
  <si>
    <t>CP-023</t>
  </si>
  <si>
    <t>no podrá añadir el producto al carrito de compras</t>
  </si>
  <si>
    <t>que el usuario esta logueado en la web de la tienda KOAJ</t>
  </si>
  <si>
    <t>escoge una talla que no esta disponible</t>
  </si>
  <si>
    <t xml:space="preserve">añade el articulo al carrito de compras </t>
  </si>
  <si>
    <t>@AñadirAlCarrito</t>
  </si>
  <si>
    <t>@EliminarDelCarrito</t>
  </si>
  <si>
    <t>tiene al menos un articulo en le carrito</t>
  </si>
  <si>
    <t xml:space="preserve">Remueve un articulo del carrito de compras </t>
  </si>
  <si>
    <t>el articulo será eliminado del carrito</t>
  </si>
  <si>
    <t>CP-024</t>
  </si>
  <si>
    <t xml:space="preserve">el articulo se mostrara en el carrito de compras </t>
  </si>
  <si>
    <t>@Filtrado</t>
  </si>
  <si>
    <t>Verificar la funcionalidad del filtrado</t>
  </si>
  <si>
    <t>selecciona una opción de filtrado</t>
  </si>
  <si>
    <t>CP-025</t>
  </si>
  <si>
    <t>CP-026</t>
  </si>
  <si>
    <t>los resultados de búsqueda se filtraran correctamente según la opción seleccionada</t>
  </si>
  <si>
    <t>@RecogerEnTienda</t>
  </si>
  <si>
    <t>CP-027</t>
  </si>
  <si>
    <t>@MetodoEnvioDomicilio</t>
  </si>
  <si>
    <t>selecciona la opción de recoger en tienda</t>
  </si>
  <si>
    <t>escoge una tienda</t>
  </si>
  <si>
    <t>Selecciona un articulo de la categoría de camisetas</t>
  </si>
  <si>
    <t>Cuando selecciona un articulo de la categoría de camisetas</t>
  </si>
  <si>
    <t xml:space="preserve">Verificar que se puedan eliminar los artículos del carrito de compra </t>
  </si>
  <si>
    <t>que el usuario está logueado en la web de la tienda KOAJ en la sección de camisetas</t>
  </si>
  <si>
    <t>que el usuario está logueado en la web de la tienda KOAJ  en el apartado del método de envió</t>
  </si>
  <si>
    <t>deberá  avanzar al paso de método de pago</t>
  </si>
  <si>
    <t>Verificar la funcionalidad del método de envió a domicilio</t>
  </si>
  <si>
    <t xml:space="preserve">selecciona la opción de envió a domicilio </t>
  </si>
  <si>
    <t xml:space="preserve">deberá  avanzar a un formulario para ingresar los datos de envió </t>
  </si>
  <si>
    <t xml:space="preserve">deberá recibir un respuesta una respuesta Status 500 con un mensaje de error </t>
  </si>
  <si>
    <t>deberá recibir una respuesta Status 500 con un mensaje de error</t>
  </si>
  <si>
    <t>No cumple</t>
  </si>
  <si>
    <t>Cumple</t>
  </si>
  <si>
    <t>Flujo de compra con la categoria de camisetas</t>
  </si>
  <si>
    <t>No Cumple</t>
  </si>
  <si>
    <t>@Outline</t>
  </si>
  <si>
    <t>CP-OUT</t>
  </si>
  <si>
    <t>Aurelia Castellanos</t>
  </si>
  <si>
    <t>Lucius Ramirez</t>
  </si>
  <si>
    <t>Octavia Rodriguez</t>
  </si>
  <si>
    <t>Maximus Gonzalez</t>
  </si>
  <si>
    <t>Valentina Santos</t>
  </si>
  <si>
    <t>Av. 5 Cll 2</t>
  </si>
  <si>
    <t>Crr 2 Av. 10</t>
  </si>
  <si>
    <t>Cll 10 Av 15</t>
  </si>
  <si>
    <t>Cll 10 Crr. 10</t>
  </si>
  <si>
    <t>id</t>
  </si>
  <si>
    <t>email</t>
  </si>
  <si>
    <t>name</t>
  </si>
  <si>
    <t>address</t>
  </si>
  <si>
    <t>city</t>
  </si>
  <si>
    <t>department</t>
  </si>
  <si>
    <t>Av. 4 cll 16</t>
  </si>
  <si>
    <t>castellanos@gmail.com</t>
  </si>
  <si>
    <t>ramirez@gmail.com</t>
  </si>
  <si>
    <t>rodriguez@gmail.com</t>
  </si>
  <si>
    <t>gonzalez@gmail.com</t>
  </si>
  <si>
    <t>santos@gmail.com</t>
  </si>
  <si>
    <t>Santander</t>
  </si>
  <si>
    <t>N. Santander</t>
  </si>
  <si>
    <t>Antioquia</t>
  </si>
  <si>
    <t>Cundinamarca</t>
  </si>
  <si>
    <t>Caldas</t>
  </si>
  <si>
    <t>Bucaramanga</t>
  </si>
  <si>
    <t>Cúcuta</t>
  </si>
  <si>
    <t>Medellin</t>
  </si>
  <si>
    <t>Bogota</t>
  </si>
  <si>
    <t>Manizales</t>
  </si>
  <si>
    <t>Verificar la funcionalidad del formulario de datos de envió</t>
  </si>
  <si>
    <t>que el usuario está logueado en la web de la tienda KOAJ  en el apartado del formulario de envió a domicilio</t>
  </si>
  <si>
    <t>ingresa datos personales envió como Nombre&lt;name&gt; dirección&lt;address&gt;cedula&lt;id&gt;correo&lt;email&gt;departamento&lt;department&gt;ciudad&lt;city&gt;</t>
  </si>
  <si>
    <t>deberá  recibir un mensaje de confirmación al correo&lt;email&gt;</t>
  </si>
  <si>
    <r>
      <rPr>
        <b/>
        <sz val="14"/>
        <color theme="1"/>
        <rFont val="Calibri"/>
        <family val="2"/>
        <scheme val="minor"/>
      </rPr>
      <t>Fecha:</t>
    </r>
    <r>
      <rPr>
        <sz val="14"/>
        <color theme="1"/>
        <rFont val="Calibri"/>
        <family val="2"/>
        <scheme val="minor"/>
      </rPr>
      <t xml:space="preserve"> 05/03/2023</t>
    </r>
  </si>
  <si>
    <r>
      <rPr>
        <b/>
        <sz val="14"/>
        <color theme="1"/>
        <rFont val="Calibri"/>
        <family val="2"/>
        <scheme val="minor"/>
      </rPr>
      <t>Título:</t>
    </r>
    <r>
      <rPr>
        <sz val="14"/>
        <color theme="1"/>
        <rFont val="Calibri"/>
        <family val="2"/>
        <scheme val="minor"/>
      </rPr>
      <t xml:space="preserve"> la respuesta status es la incorrecta</t>
    </r>
  </si>
  <si>
    <r>
      <rPr>
        <b/>
        <sz val="14"/>
        <color theme="1"/>
        <rFont val="Calibri"/>
        <family val="2"/>
        <scheme val="minor"/>
      </rPr>
      <t>Ambiente:</t>
    </r>
    <r>
      <rPr>
        <sz val="14"/>
        <color theme="1"/>
        <rFont val="Calibri"/>
        <family val="2"/>
        <scheme val="minor"/>
      </rPr>
      <t xml:space="preserve"> SoapUI</t>
    </r>
  </si>
  <si>
    <r>
      <rPr>
        <b/>
        <sz val="14"/>
        <color theme="1"/>
        <rFont val="Calibri"/>
        <family val="2"/>
      </rPr>
      <t>Referencias:</t>
    </r>
    <r>
      <rPr>
        <sz val="14"/>
        <color theme="1"/>
        <rFont val="Calibri"/>
        <family val="2"/>
      </rPr>
      <t xml:space="preserve">
</t>
    </r>
  </si>
  <si>
    <r>
      <rPr>
        <b/>
        <sz val="14"/>
        <color theme="1"/>
        <rFont val="Calibri"/>
        <family val="2"/>
      </rPr>
      <t>Áreas afectadas:</t>
    </r>
    <r>
      <rPr>
        <sz val="14"/>
        <color theme="1"/>
        <rFont val="Calibri"/>
        <family val="2"/>
        <scheme val="minor"/>
      </rPr>
      <t xml:space="preserve"> Servicios SOAP</t>
    </r>
  </si>
  <si>
    <r>
      <rPr>
        <b/>
        <sz val="14"/>
        <color theme="1"/>
        <rFont val="Calibri"/>
        <family val="2"/>
        <scheme val="minor"/>
      </rPr>
      <t>ID:</t>
    </r>
    <r>
      <rPr>
        <sz val="14"/>
        <color theme="1"/>
        <rFont val="Calibri"/>
        <family val="2"/>
        <scheme val="minor"/>
      </rPr>
      <t xml:space="preserve"> BUG2</t>
    </r>
  </si>
  <si>
    <r>
      <rPr>
        <b/>
        <sz val="14"/>
        <color theme="1"/>
        <rFont val="Calibri"/>
        <family val="2"/>
        <scheme val="minor"/>
      </rPr>
      <t>Resultados esperados:</t>
    </r>
    <r>
      <rPr>
        <sz val="14"/>
        <color theme="1"/>
        <rFont val="Calibri"/>
        <family val="2"/>
        <scheme val="minor"/>
      </rPr>
      <t xml:space="preserve">
Status 500 error y mensaje de error</t>
    </r>
  </si>
  <si>
    <r>
      <rPr>
        <b/>
        <sz val="14"/>
        <color theme="1"/>
        <rFont val="Calibri"/>
        <family val="2"/>
        <scheme val="minor"/>
      </rPr>
      <t>Resultados Obtenidos:</t>
    </r>
    <r>
      <rPr>
        <sz val="14"/>
        <color theme="1"/>
        <rFont val="Calibri"/>
        <family val="2"/>
        <scheme val="minor"/>
      </rPr>
      <t xml:space="preserve">
Status 500 error y mensaje de error</t>
    </r>
  </si>
  <si>
    <r>
      <rPr>
        <b/>
        <sz val="14"/>
        <color theme="1"/>
        <rFont val="Calibri"/>
        <family val="2"/>
        <scheme val="minor"/>
      </rPr>
      <t>Prioridad:</t>
    </r>
    <r>
      <rPr>
        <sz val="14"/>
        <color theme="1"/>
        <rFont val="Calibri"/>
        <family val="2"/>
        <scheme val="minor"/>
      </rPr>
      <t xml:space="preserve"> 2</t>
    </r>
  </si>
  <si>
    <r>
      <t>Título:</t>
    </r>
    <r>
      <rPr>
        <sz val="14"/>
        <color theme="1"/>
        <rFont val="Calibri"/>
        <family val="2"/>
        <scheme val="minor"/>
      </rPr>
      <t xml:space="preserve"> no se evidencia un mensaje de error correcto</t>
    </r>
  </si>
  <si>
    <r>
      <rPr>
        <b/>
        <sz val="14"/>
        <color theme="1"/>
        <rFont val="Calibri"/>
        <family val="2"/>
        <scheme val="minor"/>
      </rPr>
      <t>Prioridad:</t>
    </r>
    <r>
      <rPr>
        <sz val="14"/>
        <color theme="1"/>
        <rFont val="Calibri"/>
        <family val="2"/>
        <scheme val="minor"/>
      </rPr>
      <t xml:space="preserve"> 3</t>
    </r>
  </si>
  <si>
    <r>
      <rPr>
        <b/>
        <sz val="14"/>
        <color theme="1"/>
        <rFont val="Calibri"/>
        <family val="2"/>
        <scheme val="minor"/>
      </rPr>
      <t>Resultados esperados:</t>
    </r>
    <r>
      <rPr>
        <sz val="14"/>
        <color theme="1"/>
        <rFont val="Calibri"/>
        <family val="2"/>
        <scheme val="minor"/>
      </rPr>
      <t xml:space="preserve">
Status 500 error y mensaje de error </t>
    </r>
  </si>
  <si>
    <r>
      <rPr>
        <b/>
        <sz val="14"/>
        <color theme="1"/>
        <rFont val="Calibri"/>
        <family val="2"/>
        <scheme val="minor"/>
      </rPr>
      <t>Resultados Obtenidos:</t>
    </r>
    <r>
      <rPr>
        <sz val="14"/>
        <color theme="1"/>
        <rFont val="Calibri"/>
        <family val="2"/>
        <scheme val="minor"/>
      </rPr>
      <t xml:space="preserve">
Status 500 error sin mensaje de error valido.</t>
    </r>
  </si>
  <si>
    <r>
      <t>ID:</t>
    </r>
    <r>
      <rPr>
        <sz val="14"/>
        <color theme="1"/>
        <rFont val="Calibri"/>
        <family val="2"/>
        <scheme val="minor"/>
      </rPr>
      <t xml:space="preserve"> BUG3</t>
    </r>
  </si>
  <si>
    <r>
      <rPr>
        <b/>
        <sz val="14"/>
        <color theme="1"/>
        <rFont val="Calibri"/>
        <family val="2"/>
        <scheme val="minor"/>
      </rPr>
      <t>Resumen:</t>
    </r>
    <r>
      <rPr>
        <sz val="14"/>
        <color theme="1"/>
        <rFont val="Calibri"/>
        <family val="2"/>
        <scheme val="minor"/>
      </rPr>
      <t xml:space="preserve">
Se envía un valor alfabético en el campo de la solicitud en vez de un numérico requerido, y el servicio me da una respuesta de status 200 OK</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</si>
  <si>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url:https://www.w3schools.com/xml/tempconvert.asmx?WSDL.
4. dar Click en el botón Ok.
5. click en la opción CelsiusToFahrenheit.
 6. Ingresar un valor alfabético en el campo de la solicitud
7. Revisar la respuesta status en la pestaña RAW</t>
    </r>
  </si>
  <si>
    <r>
      <rPr>
        <b/>
        <sz val="14"/>
        <color theme="1"/>
        <rFont val="Calibri"/>
        <family val="2"/>
        <scheme val="minor"/>
      </rPr>
      <t>Resumen:</t>
    </r>
    <r>
      <rPr>
        <sz val="14"/>
        <color theme="1"/>
        <rFont val="Calibri"/>
        <family val="2"/>
        <scheme val="minor"/>
      </rPr>
      <t xml:space="preserve">
Se envía un campo vacío de la solicitud en vez de un numérico requerido, y el servicio me da una respuesta de status 200 OK</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</si>
  <si>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url:https://www.w3schools.com/xml/tempconvert.asmx?WSDL.
4. dar Click en el botón Ok.
5. click en la opción CelsiusToFahrenheit.
 6. dejar el campo de la solicitud vacío
7. Revisar la respuesta status en la pestaña RAW</t>
    </r>
  </si>
  <si>
    <r>
      <rPr>
        <b/>
        <sz val="14"/>
        <color theme="1"/>
        <rFont val="Calibri"/>
        <family val="2"/>
        <scheme val="minor"/>
      </rPr>
      <t>Resumen:</t>
    </r>
    <r>
      <rPr>
        <sz val="14"/>
        <color theme="1"/>
        <rFont val="Calibri"/>
        <family val="2"/>
        <scheme val="minor"/>
      </rPr>
      <t xml:space="preserve">
Se envía valores no validos en el campo de la solicitud en vez de un numérico enteros, y el servicio no muestra un mensaje de error adecuado</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</si>
  <si>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SoapUI.
2. Crear una nuevo SOAP Project.
3. Ingresar un nombre de proyecto y la url:hhttp://www.dneonline.com/calculator.asmx?WSDL.
4. dar Click en el botón Ok.
5. click en la opción Múltiple.
 6. ingresar valores no numéricos en el campo de la solicitud
7. Revisar el mensaje de error en la pestaña XML</t>
    </r>
  </si>
  <si>
    <r>
      <t>Título:</t>
    </r>
    <r>
      <rPr>
        <sz val="14"/>
        <color theme="1"/>
        <rFont val="Calibri"/>
        <family val="2"/>
        <scheme val="minor"/>
      </rPr>
      <t xml:space="preserve"> Error en la funcionalidad en el método de envió recoger en tienda</t>
    </r>
  </si>
  <si>
    <r>
      <rPr>
        <b/>
        <sz val="14"/>
        <color theme="1"/>
        <rFont val="Calibri"/>
        <family val="2"/>
        <scheme val="minor"/>
      </rPr>
      <t>Resumen:</t>
    </r>
    <r>
      <rPr>
        <sz val="14"/>
        <color theme="1"/>
        <rFont val="Calibri"/>
        <family val="2"/>
        <scheme val="minor"/>
      </rPr>
      <t xml:space="preserve">
Al realizar un compra cuando se elige la opción de envió recoger en tienda, y luego se selecciona una tienda al continuar al paso de método de pago se evidencia un error el cual dice que la dirección es incorrecta</t>
    </r>
  </si>
  <si>
    <r>
      <rPr>
        <b/>
        <sz val="14"/>
        <color theme="1"/>
        <rFont val="Calibri"/>
        <family val="2"/>
        <scheme val="minor"/>
      </rPr>
      <t>Descripción:</t>
    </r>
    <r>
      <rPr>
        <sz val="14"/>
        <color theme="1"/>
        <rFont val="Calibri"/>
        <family val="2"/>
        <scheme val="minor"/>
      </rPr>
      <t xml:space="preserve">
Para lograr reproducir este bug, es necesario seguir los pasos siguientes:
1.Abra el navegador.
2. Ingrese la siguiente URL https://www.koaj.co.
3. Seleccione un producto.
4. Añada el producto al carrito
5. diríjase al carrito de compras
 6. dar click en finalizar compra
7. Seleccione la opción de recoger en tienda
8. seleccione una tienda
9. Click en continuar
10. Evidenciar el error</t>
    </r>
  </si>
  <si>
    <r>
      <rPr>
        <b/>
        <sz val="14"/>
        <color theme="1"/>
        <rFont val="Calibri"/>
        <family val="2"/>
        <scheme val="minor"/>
      </rPr>
      <t>Resultados esperados:</t>
    </r>
    <r>
      <rPr>
        <sz val="14"/>
        <color theme="1"/>
        <rFont val="Calibri"/>
        <family val="2"/>
        <scheme val="minor"/>
      </rPr>
      <t xml:space="preserve">
Pasar de manera exitosa al paso de métodos de pago</t>
    </r>
  </si>
  <si>
    <r>
      <rPr>
        <b/>
        <sz val="14"/>
        <color theme="1"/>
        <rFont val="Calibri"/>
        <family val="2"/>
        <scheme val="minor"/>
      </rPr>
      <t>Resultados Obtenidos:</t>
    </r>
    <r>
      <rPr>
        <sz val="14"/>
        <color theme="1"/>
        <rFont val="Calibri"/>
        <family val="2"/>
        <scheme val="minor"/>
      </rPr>
      <t xml:space="preserve">
No se puede continuar de forma exitosa en el paso de método de pago ya que sale un error que dice que la dirección de envió es invalidad </t>
    </r>
  </si>
  <si>
    <r>
      <t>ID:</t>
    </r>
    <r>
      <rPr>
        <sz val="14"/>
        <color theme="1"/>
        <rFont val="Calibri"/>
        <family val="2"/>
        <scheme val="minor"/>
      </rPr>
      <t xml:space="preserve"> BUG4</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</si>
</sst>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4"/>
      <color theme="1"/>
      <name val="Calibri"/>
      <family val="2"/>
    </font>
    <font>
      <sz val="14"/>
      <color theme="1"/>
      <name val="Calibri"/>
      <family val="2"/>
      <scheme val="minor"/>
    </font>
    <font>
      <b/>
      <sz val="14"/>
      <color theme="1"/>
      <name val="Calibri"/>
      <family val="2"/>
    </font>
    <font>
      <b/>
      <sz val="14"/>
      <color theme="1"/>
      <name val="Calibri"/>
      <family val="2"/>
      <scheme val="minor"/>
    </font>
    <font>
      <b/>
      <sz val="11"/>
      <color theme="0"/>
      <name val="Calibri"/>
      <family val="2"/>
      <scheme val="minor"/>
    </font>
    <font>
      <b/>
      <sz val="11"/>
      <color theme="1"/>
      <name val="Calibri"/>
      <family val="2"/>
      <scheme val="minor"/>
    </font>
    <font>
      <b/>
      <sz val="11"/>
      <color rgb="FF7030A0"/>
      <name val="Calibri"/>
      <family val="2"/>
      <scheme val="minor"/>
    </font>
    <font>
      <b/>
      <sz val="11"/>
      <color rgb="FF00B050"/>
      <name val="Calibri"/>
      <family val="2"/>
      <scheme val="minor"/>
    </font>
    <font>
      <b/>
      <sz val="11"/>
      <name val="Calibri"/>
      <family val="2"/>
      <scheme val="minor"/>
    </font>
    <font>
      <i/>
      <sz val="10"/>
      <color theme="1"/>
      <name val="Calibri"/>
      <family val="2"/>
      <scheme val="minor"/>
    </font>
    <font>
      <b/>
      <i/>
      <sz val="10"/>
      <color theme="1"/>
      <name val="Calibri"/>
      <family val="2"/>
      <scheme val="minor"/>
    </font>
    <font>
      <u/>
      <sz val="11"/>
      <color theme="10"/>
      <name val="Calibri"/>
      <family val="2"/>
      <scheme val="minor"/>
    </font>
    <font>
      <b/>
      <sz val="14"/>
      <color theme="0"/>
      <name val="Calibri"/>
      <family val="2"/>
      <scheme val="minor"/>
    </font>
    <font>
      <sz val="14"/>
      <color theme="0"/>
      <name val="Calibri"/>
      <family val="2"/>
      <scheme val="minor"/>
    </font>
  </fonts>
  <fills count="13">
    <fill>
      <patternFill patternType="none"/>
    </fill>
    <fill>
      <patternFill patternType="gray125"/>
    </fill>
    <fill>
      <patternFill patternType="solid">
        <fgColor rgb="FFA5A5A5"/>
        <bgColor rgb="FFA5A5A5"/>
      </patternFill>
    </fill>
    <fill>
      <patternFill patternType="solid">
        <fgColor rgb="FFD8D8D8"/>
        <bgColor rgb="FFD8D8D8"/>
      </patternFill>
    </fill>
    <fill>
      <patternFill patternType="solid">
        <fgColor rgb="FFDEEAF6"/>
        <bgColor rgb="FFDEEAF6"/>
      </patternFill>
    </fill>
    <fill>
      <patternFill patternType="solid">
        <fgColor theme="4"/>
        <bgColor indexed="64"/>
      </patternFill>
    </fill>
    <fill>
      <patternFill patternType="solid">
        <fgColor theme="0" tint="-0.14999847407452621"/>
        <bgColor rgb="FFD8D8D8"/>
      </patternFill>
    </fill>
    <fill>
      <patternFill patternType="solid">
        <fgColor theme="4" tint="0.59999389629810485"/>
        <bgColor rgb="FFDEEAF6"/>
      </patternFill>
    </fill>
    <fill>
      <patternFill patternType="solid">
        <fgColor theme="4" tint="0.59999389629810485"/>
        <bgColor rgb="FFD8D8D8"/>
      </patternFill>
    </fill>
    <fill>
      <patternFill patternType="solid">
        <fgColor theme="4" tint="-0.249977111117893"/>
        <bgColor indexed="64"/>
      </patternFill>
    </fill>
    <fill>
      <patternFill patternType="solid">
        <fgColor rgb="FFFFC000"/>
        <bgColor indexed="64"/>
      </patternFill>
    </fill>
    <fill>
      <patternFill patternType="solid">
        <fgColor rgb="FFFF0000"/>
        <bgColor indexed="64"/>
      </patternFill>
    </fill>
    <fill>
      <patternFill patternType="solid">
        <fgColor rgb="FF00B050"/>
        <bgColor indexed="64"/>
      </patternFill>
    </fill>
  </fills>
  <borders count="3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diagonal/>
    </border>
    <border>
      <left/>
      <right/>
      <top style="medium">
        <color indexed="64"/>
      </top>
      <bottom/>
      <diagonal/>
    </border>
  </borders>
  <cellStyleXfs count="2">
    <xf numFmtId="0" fontId="0" fillId="0" borderId="0"/>
    <xf numFmtId="0" fontId="12" fillId="0" borderId="0" applyNumberFormat="0" applyFill="0" applyBorder="0" applyAlignment="0" applyProtection="0"/>
  </cellStyleXfs>
  <cellXfs count="73">
    <xf numFmtId="0" fontId="0" fillId="0" borderId="0" xfId="0"/>
    <xf numFmtId="0" fontId="2" fillId="0" borderId="0" xfId="0" applyFont="1" applyAlignment="1">
      <alignment horizontal="center" vertical="center"/>
    </xf>
    <xf numFmtId="0" fontId="3" fillId="2" borderId="2" xfId="0" applyFont="1" applyFill="1" applyBorder="1" applyAlignment="1">
      <alignment horizontal="center" vertical="center" wrapText="1"/>
    </xf>
    <xf numFmtId="0" fontId="0" fillId="0" borderId="0" xfId="0" applyAlignment="1">
      <alignment horizontal="center" vertical="center"/>
    </xf>
    <xf numFmtId="0" fontId="7" fillId="0" borderId="3" xfId="0" applyFont="1" applyBorder="1" applyAlignment="1">
      <alignment horizontal="right" vertical="center"/>
    </xf>
    <xf numFmtId="0" fontId="7" fillId="0" borderId="4" xfId="0" applyFont="1" applyBorder="1" applyAlignment="1">
      <alignment horizontal="right" vertical="center"/>
    </xf>
    <xf numFmtId="0" fontId="0" fillId="0" borderId="4" xfId="0"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9" fillId="0" borderId="4" xfId="0" applyFont="1" applyBorder="1" applyAlignment="1">
      <alignment horizontal="right" vertical="center"/>
    </xf>
    <xf numFmtId="0" fontId="10" fillId="0" borderId="0" xfId="0" applyFont="1" applyAlignment="1">
      <alignment horizontal="center" vertical="center" wrapText="1"/>
    </xf>
    <xf numFmtId="0" fontId="1" fillId="6" borderId="2" xfId="0" applyFont="1" applyFill="1" applyBorder="1" applyAlignment="1">
      <alignment horizontal="center" vertical="center" wrapText="1"/>
    </xf>
    <xf numFmtId="0" fontId="2" fillId="6" borderId="2" xfId="0" applyFont="1" applyFill="1" applyBorder="1" applyAlignment="1">
      <alignment horizontal="center" vertical="center" wrapText="1"/>
    </xf>
    <xf numFmtId="0" fontId="1" fillId="7" borderId="2" xfId="0" applyFont="1" applyFill="1" applyBorder="1" applyAlignment="1">
      <alignment horizontal="center" vertical="center" wrapText="1"/>
    </xf>
    <xf numFmtId="0" fontId="1" fillId="8" borderId="2" xfId="0" applyFont="1" applyFill="1" applyBorder="1" applyAlignment="1">
      <alignment horizontal="center" vertical="center" wrapText="1"/>
    </xf>
    <xf numFmtId="0" fontId="2" fillId="7" borderId="2" xfId="0" applyFont="1" applyFill="1" applyBorder="1" applyAlignment="1">
      <alignment horizontal="center" vertical="center" wrapText="1"/>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17" xfId="0" applyFont="1" applyBorder="1" applyAlignment="1">
      <alignment horizontal="center" vertical="center"/>
    </xf>
    <xf numFmtId="0" fontId="2" fillId="0" borderId="13" xfId="0" applyFont="1" applyBorder="1" applyAlignment="1">
      <alignment horizontal="center" vertical="center"/>
    </xf>
    <xf numFmtId="0" fontId="2" fillId="0" borderId="18" xfId="0" applyFont="1" applyBorder="1" applyAlignment="1">
      <alignment horizontal="center" vertical="center"/>
    </xf>
    <xf numFmtId="0" fontId="2" fillId="0" borderId="19" xfId="0" applyFont="1" applyBorder="1" applyAlignment="1">
      <alignment horizontal="center" vertical="center"/>
    </xf>
    <xf numFmtId="0" fontId="2" fillId="0" borderId="2" xfId="0" applyFont="1" applyBorder="1" applyAlignment="1">
      <alignment horizontal="center" vertical="center"/>
    </xf>
    <xf numFmtId="0" fontId="2" fillId="0" borderId="20" xfId="0" applyFont="1" applyBorder="1" applyAlignment="1">
      <alignment horizontal="center" vertical="center"/>
    </xf>
    <xf numFmtId="0" fontId="2" fillId="0" borderId="21"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0" fillId="0" borderId="11" xfId="0" applyBorder="1" applyAlignment="1">
      <alignment horizontal="center" vertical="center"/>
    </xf>
    <xf numFmtId="49" fontId="8" fillId="0" borderId="6" xfId="0" applyNumberFormat="1" applyFont="1" applyBorder="1" applyAlignment="1">
      <alignment horizontal="right" vertical="center"/>
    </xf>
    <xf numFmtId="0" fontId="9" fillId="10" borderId="9" xfId="0" applyFont="1" applyFill="1" applyBorder="1" applyAlignment="1">
      <alignment horizontal="center" vertical="center"/>
    </xf>
    <xf numFmtId="0" fontId="5" fillId="9" borderId="7" xfId="0" applyFont="1" applyFill="1" applyBorder="1" applyAlignment="1">
      <alignment horizontal="center" vertical="center"/>
    </xf>
    <xf numFmtId="0" fontId="5" fillId="9" borderId="8" xfId="0" applyFont="1" applyFill="1" applyBorder="1" applyAlignment="1">
      <alignment horizontal="center" vertical="center"/>
    </xf>
    <xf numFmtId="0" fontId="0" fillId="0" borderId="5" xfId="0" applyBorder="1"/>
    <xf numFmtId="0" fontId="0" fillId="0" borderId="10" xfId="0" applyBorder="1"/>
    <xf numFmtId="0" fontId="6" fillId="0" borderId="8" xfId="0" applyFont="1" applyBorder="1" applyAlignment="1">
      <alignment horizontal="left" vertical="center"/>
    </xf>
    <xf numFmtId="0" fontId="6" fillId="0" borderId="9" xfId="0" applyFont="1" applyBorder="1" applyAlignment="1">
      <alignment horizontal="left" vertical="center"/>
    </xf>
    <xf numFmtId="0" fontId="9" fillId="11" borderId="9" xfId="0" applyFont="1" applyFill="1" applyBorder="1" applyAlignment="1">
      <alignment horizontal="center" vertical="center"/>
    </xf>
    <xf numFmtId="0" fontId="9" fillId="12" borderId="9" xfId="0" applyFont="1" applyFill="1" applyBorder="1" applyAlignment="1">
      <alignment horizontal="center" vertical="center"/>
    </xf>
    <xf numFmtId="0" fontId="0" fillId="0" borderId="9" xfId="0" applyBorder="1"/>
    <xf numFmtId="0" fontId="0" fillId="0" borderId="25" xfId="0" applyBorder="1"/>
    <xf numFmtId="0" fontId="0" fillId="0" borderId="0" xfId="0" applyAlignment="1">
      <alignment horizontal="left" vertical="center"/>
    </xf>
    <xf numFmtId="0" fontId="0" fillId="0" borderId="24" xfId="0" applyBorder="1" applyAlignment="1">
      <alignment horizontal="center" vertical="center"/>
    </xf>
    <xf numFmtId="0" fontId="0" fillId="0" borderId="26" xfId="0" applyBorder="1" applyAlignment="1">
      <alignment horizontal="center" vertical="center"/>
    </xf>
    <xf numFmtId="0" fontId="0" fillId="0" borderId="27" xfId="0" applyBorder="1"/>
    <xf numFmtId="0" fontId="7" fillId="0" borderId="28" xfId="0" applyFont="1" applyBorder="1" applyAlignment="1">
      <alignment horizontal="right" vertical="center"/>
    </xf>
    <xf numFmtId="0" fontId="6" fillId="0" borderId="26" xfId="0" applyFont="1" applyBorder="1" applyAlignment="1">
      <alignment horizontal="center" vertical="center"/>
    </xf>
    <xf numFmtId="0" fontId="6" fillId="0" borderId="0" xfId="0" applyFont="1" applyAlignment="1">
      <alignment horizontal="center" vertical="center"/>
    </xf>
    <xf numFmtId="0" fontId="6" fillId="0" borderId="24" xfId="0" applyFont="1" applyBorder="1" applyAlignment="1">
      <alignment horizontal="center" vertical="center"/>
    </xf>
    <xf numFmtId="0" fontId="12" fillId="0" borderId="26" xfId="1" applyBorder="1" applyAlignment="1">
      <alignment horizontal="center" vertical="center"/>
    </xf>
    <xf numFmtId="0" fontId="4" fillId="5" borderId="1" xfId="0" applyFont="1" applyFill="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0" fillId="0" borderId="0" xfId="0" applyAlignment="1">
      <alignment horizontal="left" vertical="center"/>
    </xf>
    <xf numFmtId="0" fontId="0" fillId="0" borderId="9" xfId="0" applyBorder="1" applyAlignment="1">
      <alignment horizontal="left" vertical="center"/>
    </xf>
    <xf numFmtId="0" fontId="9" fillId="10" borderId="0" xfId="0" applyFont="1" applyFill="1" applyAlignment="1">
      <alignment horizontal="center" vertical="center"/>
    </xf>
    <xf numFmtId="0" fontId="9" fillId="10" borderId="9" xfId="0" applyFont="1" applyFill="1" applyBorder="1" applyAlignment="1">
      <alignment horizontal="center" vertical="center"/>
    </xf>
    <xf numFmtId="0" fontId="13" fillId="9" borderId="3" xfId="0" applyFont="1" applyFill="1" applyBorder="1" applyAlignment="1">
      <alignment horizontal="center" vertical="center"/>
    </xf>
    <xf numFmtId="0" fontId="14" fillId="9" borderId="29" xfId="0" applyFont="1" applyFill="1" applyBorder="1" applyAlignment="1">
      <alignment horizontal="center" vertical="center"/>
    </xf>
    <xf numFmtId="0" fontId="14" fillId="9" borderId="8" xfId="0" applyFont="1" applyFill="1" applyBorder="1" applyAlignment="1">
      <alignment horizontal="center" vertical="center"/>
    </xf>
    <xf numFmtId="0" fontId="4" fillId="2" borderId="2"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2" fillId="3" borderId="2"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2" fillId="4" borderId="2" xfId="0" applyFont="1" applyFill="1" applyBorder="1" applyAlignment="1">
      <alignment horizontal="center" vertical="center" wrapText="1"/>
    </xf>
  </cellXfs>
  <cellStyles count="2">
    <cellStyle name="Hipervínculo" xfId="1" builtinId="8"/>
    <cellStyle name="Normal" xfId="0" builtinId="0"/>
  </cellStyles>
  <dxfs count="33">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s>
  <tableStyles count="11" defaultTableStyle="TableStyleMedium2" defaultPivotStyle="PivotStyleLight16">
    <tableStyle name="Matriz de Riesgo -style" pivot="0" count="3" xr9:uid="{73AFE189-A624-42E6-BF85-AF9A7630F921}">
      <tableStyleElement type="headerRow" dxfId="32"/>
      <tableStyleElement type="firstRowStripe" dxfId="31"/>
      <tableStyleElement type="secondRowStripe" dxfId="30"/>
    </tableStyle>
    <tableStyle name="Ejemplo Matriz de Riesgo-style" pivot="0" count="3" xr9:uid="{A9772290-327C-4D7D-9B2B-3B4A67769A7A}">
      <tableStyleElement type="headerRow" dxfId="29"/>
      <tableStyleElement type="firstRowStripe" dxfId="28"/>
      <tableStyleElement type="secondRowStripe" dxfId="27"/>
    </tableStyle>
    <tableStyle name="Instructivo-style" pivot="0" count="3" xr9:uid="{A93B01DA-F6EF-459D-B349-FB77BB8EF565}">
      <tableStyleElement type="headerRow" dxfId="26"/>
      <tableStyleElement type="firstRowStripe" dxfId="25"/>
      <tableStyleElement type="secondRowStripe" dxfId="24"/>
    </tableStyle>
    <tableStyle name="Tabla-style" pivot="0" count="3" xr9:uid="{CE9E74AC-3896-4ADE-8069-E8E8DA6CFB91}">
      <tableStyleElement type="headerRow" dxfId="23"/>
      <tableStyleElement type="firstRowStripe" dxfId="22"/>
      <tableStyleElement type="secondRowStripe" dxfId="21"/>
    </tableStyle>
    <tableStyle name="Tabla-style 2" pivot="0" count="3" xr9:uid="{4090D348-479C-42C5-BCD2-EC59C9521FC1}">
      <tableStyleElement type="headerRow" dxfId="20"/>
      <tableStyleElement type="firstRowStripe" dxfId="19"/>
      <tableStyleElement type="secondRowStripe" dxfId="18"/>
    </tableStyle>
    <tableStyle name="Tabla-style 3" pivot="0" count="3" xr9:uid="{F9B6A5B2-E2AD-4303-89B3-35716CF2FC0B}">
      <tableStyleElement type="headerRow" dxfId="17"/>
      <tableStyleElement type="firstRowStripe" dxfId="16"/>
      <tableStyleElement type="secondRowStripe" dxfId="15"/>
    </tableStyle>
    <tableStyle name="Tabla-style 4" pivot="0" count="3" xr9:uid="{AD2C3D4C-09E7-4D01-A6C1-C36272854708}">
      <tableStyleElement type="headerRow" dxfId="14"/>
      <tableStyleElement type="firstRowStripe" dxfId="13"/>
      <tableStyleElement type="secondRowStripe" dxfId="12"/>
    </tableStyle>
    <tableStyle name="Tabla-style 5" pivot="0" count="3" xr9:uid="{12C8995B-C740-4FA5-9F09-D2435A817E92}">
      <tableStyleElement type="headerRow" dxfId="11"/>
      <tableStyleElement type="firstRowStripe" dxfId="10"/>
      <tableStyleElement type="secondRowStripe" dxfId="9"/>
    </tableStyle>
    <tableStyle name="Tabla-style 6" pivot="0" count="3" xr9:uid="{4C4B78B2-16E4-4C6D-8824-10B6451DBE41}">
      <tableStyleElement type="headerRow" dxfId="8"/>
      <tableStyleElement type="firstRowStripe" dxfId="7"/>
      <tableStyleElement type="secondRowStripe" dxfId="6"/>
    </tableStyle>
    <tableStyle name="Tabla-style 7" pivot="0" count="3" xr9:uid="{84F720CE-7D6F-4F68-97B4-1704C9882CC6}">
      <tableStyleElement type="headerRow" dxfId="5"/>
      <tableStyleElement type="firstRowStripe" dxfId="4"/>
      <tableStyleElement type="secondRowStripe" dxfId="3"/>
    </tableStyle>
    <tableStyle name="Tabla-style 8" pivot="0" count="3" xr9:uid="{20CC6CBF-D7AC-46FB-91D2-FB3B54892700}">
      <tableStyleElement type="headerRow" dxfId="2"/>
      <tableStyleElement type="firstRowStripe" dxfId="1"/>
      <tableStyleElement type="secondRowStripe" dxfId="0"/>
    </tableStyle>
  </tableStyles>
  <colors>
    <mruColors>
      <color rgb="FFFF7E06"/>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12</xdr:col>
      <xdr:colOff>79786</xdr:colOff>
      <xdr:row>2</xdr:row>
      <xdr:rowOff>193254</xdr:rowOff>
    </xdr:from>
    <xdr:to>
      <xdr:col>20</xdr:col>
      <xdr:colOff>201453</xdr:colOff>
      <xdr:row>5</xdr:row>
      <xdr:rowOff>869977</xdr:rowOff>
    </xdr:to>
    <xdr:pic>
      <xdr:nvPicPr>
        <xdr:cNvPr id="5" name="Imagen 4">
          <a:extLst>
            <a:ext uri="{FF2B5EF4-FFF2-40B4-BE49-F238E27FC236}">
              <a16:creationId xmlns:a16="http://schemas.microsoft.com/office/drawing/2014/main" id="{BC7C676B-8EDF-93DC-111B-DF1C5E291E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320036" y="1309040"/>
          <a:ext cx="6326524" cy="3602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hyperlink" Target="mailto:rodriguez@gmail.com" TargetMode="External"/><Relationship Id="rId2" Type="http://schemas.openxmlformats.org/officeDocument/2006/relationships/hyperlink" Target="mailto:ramirez@gmail.com" TargetMode="External"/><Relationship Id="rId1" Type="http://schemas.openxmlformats.org/officeDocument/2006/relationships/hyperlink" Target="mailto:castellanos@gmail.com" TargetMode="External"/><Relationship Id="rId6" Type="http://schemas.openxmlformats.org/officeDocument/2006/relationships/printerSettings" Target="../printerSettings/printerSettings3.bin"/><Relationship Id="rId5" Type="http://schemas.openxmlformats.org/officeDocument/2006/relationships/hyperlink" Target="mailto:santos@gmail.com" TargetMode="External"/><Relationship Id="rId4" Type="http://schemas.openxmlformats.org/officeDocument/2006/relationships/hyperlink" Target="mailto:gonzalez@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DED1-1A1E-44D7-B872-85FF24D4C5DB}">
  <sheetPr>
    <tabColor theme="0"/>
  </sheetPr>
  <dimension ref="A1:X32"/>
  <sheetViews>
    <sheetView showGridLines="0" zoomScale="70" zoomScaleNormal="70" workbookViewId="0">
      <pane ySplit="2" topLeftCell="A3" activePane="bottomLeft" state="frozen"/>
      <selection pane="bottomLeft" activeCell="H3" sqref="H3"/>
    </sheetView>
  </sheetViews>
  <sheetFormatPr baseColWidth="10" defaultColWidth="11.5703125" defaultRowHeight="15" x14ac:dyDescent="0.25"/>
  <cols>
    <col min="1" max="1" width="5.5703125" style="3" customWidth="1"/>
    <col min="2" max="2" width="51" style="3" customWidth="1"/>
    <col min="3" max="3" width="22" style="3" customWidth="1"/>
    <col min="4" max="4" width="11.5703125" style="3"/>
    <col min="5" max="5" width="19.85546875" style="3" customWidth="1"/>
    <col min="6" max="6" width="11.7109375" style="3" customWidth="1"/>
    <col min="7" max="7" width="17.85546875" style="3" customWidth="1"/>
    <col min="8" max="8" width="16.28515625" style="3" customWidth="1"/>
    <col min="9" max="9" width="24.7109375" style="3" customWidth="1"/>
    <col min="10" max="10" width="54.7109375" style="3" customWidth="1"/>
    <col min="11" max="16384" width="11.5703125" style="3"/>
  </cols>
  <sheetData>
    <row r="1" spans="1:24" ht="48.75" customHeight="1" thickBot="1" x14ac:dyDescent="0.3">
      <c r="A1" s="50" t="s">
        <v>33</v>
      </c>
      <c r="B1" s="50"/>
      <c r="C1" s="50"/>
      <c r="D1" s="50"/>
      <c r="E1" s="50"/>
      <c r="F1" s="50"/>
      <c r="G1" s="50"/>
      <c r="H1" s="50"/>
      <c r="I1" s="50"/>
      <c r="J1" s="50"/>
      <c r="K1" s="50"/>
    </row>
    <row r="2" spans="1:24" ht="38.25" thickBot="1" x14ac:dyDescent="0.3">
      <c r="A2" s="2" t="s">
        <v>0</v>
      </c>
      <c r="B2" s="2" t="s">
        <v>1</v>
      </c>
      <c r="C2" s="2" t="s">
        <v>3</v>
      </c>
      <c r="D2" s="2" t="s">
        <v>31</v>
      </c>
      <c r="E2" s="2" t="s">
        <v>4</v>
      </c>
      <c r="F2" s="2" t="s">
        <v>2</v>
      </c>
      <c r="G2" s="2" t="s">
        <v>5</v>
      </c>
      <c r="H2" s="2" t="s">
        <v>6</v>
      </c>
      <c r="I2" s="2" t="s">
        <v>7</v>
      </c>
      <c r="J2" s="2" t="s">
        <v>8</v>
      </c>
      <c r="K2" s="2" t="s">
        <v>140</v>
      </c>
      <c r="V2" s="16" t="s">
        <v>3</v>
      </c>
      <c r="W2" s="17" t="s">
        <v>32</v>
      </c>
      <c r="X2" s="18" t="s">
        <v>7</v>
      </c>
    </row>
    <row r="3" spans="1:24" ht="78.75" customHeight="1" x14ac:dyDescent="0.25">
      <c r="A3" s="11">
        <v>1</v>
      </c>
      <c r="B3" s="11" t="s">
        <v>147</v>
      </c>
      <c r="C3" s="11" t="s">
        <v>20</v>
      </c>
      <c r="D3" s="11">
        <v>1</v>
      </c>
      <c r="E3" s="12">
        <v>2</v>
      </c>
      <c r="F3" s="12">
        <v>5</v>
      </c>
      <c r="G3" s="11">
        <f>E3*F3</f>
        <v>10</v>
      </c>
      <c r="H3" s="11">
        <f>G3</f>
        <v>10</v>
      </c>
      <c r="I3" s="11" t="s">
        <v>11</v>
      </c>
      <c r="J3" s="11" t="s">
        <v>148</v>
      </c>
      <c r="K3" s="11" t="s">
        <v>141</v>
      </c>
      <c r="V3" s="19" t="s">
        <v>9</v>
      </c>
      <c r="W3" s="20">
        <v>1</v>
      </c>
      <c r="X3" s="21" t="s">
        <v>11</v>
      </c>
    </row>
    <row r="4" spans="1:24" ht="75.75" customHeight="1" x14ac:dyDescent="0.25">
      <c r="A4" s="13">
        <v>2</v>
      </c>
      <c r="B4" s="13" t="s">
        <v>52</v>
      </c>
      <c r="C4" s="14" t="s">
        <v>20</v>
      </c>
      <c r="D4" s="13">
        <v>1</v>
      </c>
      <c r="E4" s="15">
        <v>2</v>
      </c>
      <c r="F4" s="15">
        <v>4</v>
      </c>
      <c r="G4" s="15">
        <f t="shared" ref="G4:G5" si="0">E4*F4</f>
        <v>8</v>
      </c>
      <c r="H4" s="13">
        <f t="shared" ref="H4:H5" si="1">G4</f>
        <v>8</v>
      </c>
      <c r="I4" s="13" t="s">
        <v>11</v>
      </c>
      <c r="J4" s="13" t="s">
        <v>34</v>
      </c>
      <c r="K4" s="13" t="s">
        <v>141</v>
      </c>
      <c r="V4" s="22" t="s">
        <v>20</v>
      </c>
      <c r="W4" s="23">
        <v>2</v>
      </c>
      <c r="X4" s="24" t="s">
        <v>12</v>
      </c>
    </row>
    <row r="5" spans="1:24" ht="75" x14ac:dyDescent="0.25">
      <c r="A5" s="11">
        <v>3</v>
      </c>
      <c r="B5" s="11" t="s">
        <v>54</v>
      </c>
      <c r="C5" s="11" t="s">
        <v>20</v>
      </c>
      <c r="D5" s="11">
        <v>1</v>
      </c>
      <c r="E5" s="12">
        <v>1</v>
      </c>
      <c r="F5" s="12">
        <v>5</v>
      </c>
      <c r="G5" s="11">
        <f t="shared" si="0"/>
        <v>5</v>
      </c>
      <c r="H5" s="11">
        <f t="shared" si="1"/>
        <v>5</v>
      </c>
      <c r="I5" s="11" t="s">
        <v>11</v>
      </c>
      <c r="J5" s="11" t="s">
        <v>35</v>
      </c>
      <c r="K5" s="11" t="s">
        <v>141</v>
      </c>
      <c r="V5" s="22"/>
      <c r="W5" s="23">
        <v>3</v>
      </c>
      <c r="X5" s="24" t="s">
        <v>13</v>
      </c>
    </row>
    <row r="6" spans="1:24" ht="93.75" x14ac:dyDescent="0.25">
      <c r="A6" s="13">
        <v>4</v>
      </c>
      <c r="B6" s="13" t="s">
        <v>51</v>
      </c>
      <c r="C6" s="14" t="s">
        <v>20</v>
      </c>
      <c r="D6" s="13">
        <v>1</v>
      </c>
      <c r="E6" s="15">
        <v>3</v>
      </c>
      <c r="F6" s="15">
        <v>4</v>
      </c>
      <c r="G6" s="15">
        <f t="shared" ref="G6:G22" si="2">E6*F6</f>
        <v>12</v>
      </c>
      <c r="H6" s="13">
        <f t="shared" ref="H6:H22" si="3">G6</f>
        <v>12</v>
      </c>
      <c r="I6" s="13" t="s">
        <v>11</v>
      </c>
      <c r="J6" s="13" t="s">
        <v>36</v>
      </c>
      <c r="K6" s="13" t="s">
        <v>141</v>
      </c>
      <c r="V6" s="22"/>
      <c r="W6" s="23">
        <v>4</v>
      </c>
      <c r="X6" s="24" t="s">
        <v>10</v>
      </c>
    </row>
    <row r="7" spans="1:24" ht="75.75" thickBot="1" x14ac:dyDescent="0.3">
      <c r="A7" s="11">
        <v>5</v>
      </c>
      <c r="B7" s="11" t="s">
        <v>55</v>
      </c>
      <c r="C7" s="11" t="s">
        <v>20</v>
      </c>
      <c r="D7" s="11">
        <v>1</v>
      </c>
      <c r="E7" s="12">
        <v>1</v>
      </c>
      <c r="F7" s="12">
        <v>3</v>
      </c>
      <c r="G7" s="11">
        <f t="shared" si="2"/>
        <v>3</v>
      </c>
      <c r="H7" s="11">
        <f t="shared" si="3"/>
        <v>3</v>
      </c>
      <c r="I7" s="11" t="s">
        <v>13</v>
      </c>
      <c r="J7" s="11" t="s">
        <v>149</v>
      </c>
      <c r="K7" s="11" t="s">
        <v>141</v>
      </c>
      <c r="V7" s="25"/>
      <c r="W7" s="26">
        <v>5</v>
      </c>
      <c r="X7" s="27"/>
    </row>
    <row r="8" spans="1:24" ht="56.25" x14ac:dyDescent="0.25">
      <c r="A8" s="13">
        <v>6</v>
      </c>
      <c r="B8" s="13" t="s">
        <v>53</v>
      </c>
      <c r="C8" s="14" t="s">
        <v>20</v>
      </c>
      <c r="D8" s="13">
        <v>1</v>
      </c>
      <c r="E8" s="15">
        <v>1</v>
      </c>
      <c r="F8" s="15">
        <v>3</v>
      </c>
      <c r="G8" s="15">
        <f t="shared" si="2"/>
        <v>3</v>
      </c>
      <c r="H8" s="13">
        <f t="shared" si="3"/>
        <v>3</v>
      </c>
      <c r="I8" s="13" t="s">
        <v>11</v>
      </c>
      <c r="J8" s="13" t="s">
        <v>37</v>
      </c>
      <c r="K8" s="13" t="s">
        <v>141</v>
      </c>
    </row>
    <row r="9" spans="1:24" ht="111" customHeight="1" x14ac:dyDescent="0.25">
      <c r="A9" s="11">
        <v>7</v>
      </c>
      <c r="B9" s="11" t="s">
        <v>56</v>
      </c>
      <c r="C9" s="11" t="s">
        <v>20</v>
      </c>
      <c r="D9" s="11">
        <v>1</v>
      </c>
      <c r="E9" s="12">
        <v>2</v>
      </c>
      <c r="F9" s="12">
        <v>5</v>
      </c>
      <c r="G9" s="11">
        <f t="shared" si="2"/>
        <v>10</v>
      </c>
      <c r="H9" s="11">
        <f t="shared" si="3"/>
        <v>10</v>
      </c>
      <c r="I9" s="11" t="s">
        <v>11</v>
      </c>
      <c r="J9" s="11" t="s">
        <v>61</v>
      </c>
      <c r="K9" s="11" t="s">
        <v>141</v>
      </c>
    </row>
    <row r="10" spans="1:24" ht="190.5" customHeight="1" x14ac:dyDescent="0.25">
      <c r="A10" s="13">
        <v>8</v>
      </c>
      <c r="B10" s="13" t="s">
        <v>57</v>
      </c>
      <c r="C10" s="14" t="s">
        <v>20</v>
      </c>
      <c r="D10" s="13">
        <v>1</v>
      </c>
      <c r="E10" s="15">
        <v>2</v>
      </c>
      <c r="F10" s="15">
        <v>5</v>
      </c>
      <c r="G10" s="15">
        <f t="shared" si="2"/>
        <v>10</v>
      </c>
      <c r="H10" s="13">
        <f t="shared" si="3"/>
        <v>10</v>
      </c>
      <c r="I10" s="13" t="s">
        <v>11</v>
      </c>
      <c r="J10" s="13" t="s">
        <v>62</v>
      </c>
      <c r="K10" s="13" t="s">
        <v>141</v>
      </c>
    </row>
    <row r="11" spans="1:24" ht="112.5" x14ac:dyDescent="0.25">
      <c r="A11" s="11">
        <v>9</v>
      </c>
      <c r="B11" s="11" t="s">
        <v>58</v>
      </c>
      <c r="C11" s="11" t="s">
        <v>20</v>
      </c>
      <c r="D11" s="11">
        <v>1</v>
      </c>
      <c r="E11" s="12">
        <v>2</v>
      </c>
      <c r="F11" s="12">
        <v>3</v>
      </c>
      <c r="G11" s="11">
        <f t="shared" si="2"/>
        <v>6</v>
      </c>
      <c r="H11" s="11">
        <f t="shared" si="3"/>
        <v>6</v>
      </c>
      <c r="I11" s="11" t="s">
        <v>11</v>
      </c>
      <c r="J11" s="11" t="s">
        <v>63</v>
      </c>
      <c r="K11" s="11" t="s">
        <v>141</v>
      </c>
    </row>
    <row r="12" spans="1:24" ht="114.75" customHeight="1" x14ac:dyDescent="0.25">
      <c r="A12" s="13">
        <v>10</v>
      </c>
      <c r="B12" s="13" t="s">
        <v>150</v>
      </c>
      <c r="C12" s="14" t="s">
        <v>20</v>
      </c>
      <c r="D12" s="13">
        <v>1</v>
      </c>
      <c r="E12" s="15">
        <v>2</v>
      </c>
      <c r="F12" s="15">
        <v>4</v>
      </c>
      <c r="G12" s="15">
        <f t="shared" si="2"/>
        <v>8</v>
      </c>
      <c r="H12" s="13">
        <f t="shared" si="3"/>
        <v>8</v>
      </c>
      <c r="I12" s="13" t="s">
        <v>12</v>
      </c>
      <c r="J12" s="13" t="s">
        <v>64</v>
      </c>
      <c r="K12" s="13" t="s">
        <v>141</v>
      </c>
    </row>
    <row r="13" spans="1:24" ht="137.25" customHeight="1" x14ac:dyDescent="0.25">
      <c r="A13" s="11">
        <v>11</v>
      </c>
      <c r="B13" s="11" t="s">
        <v>151</v>
      </c>
      <c r="C13" s="11" t="s">
        <v>20</v>
      </c>
      <c r="D13" s="11">
        <v>1</v>
      </c>
      <c r="E13" s="12">
        <v>3</v>
      </c>
      <c r="F13" s="12">
        <v>5</v>
      </c>
      <c r="G13" s="11">
        <f t="shared" si="2"/>
        <v>15</v>
      </c>
      <c r="H13" s="11">
        <f t="shared" si="3"/>
        <v>15</v>
      </c>
      <c r="I13" s="11" t="s">
        <v>12</v>
      </c>
      <c r="J13" s="11" t="s">
        <v>142</v>
      </c>
      <c r="K13" s="11" t="s">
        <v>141</v>
      </c>
    </row>
    <row r="14" spans="1:24" ht="93.75" x14ac:dyDescent="0.25">
      <c r="A14" s="13">
        <v>12</v>
      </c>
      <c r="B14" s="13" t="s">
        <v>152</v>
      </c>
      <c r="C14" s="14" t="s">
        <v>20</v>
      </c>
      <c r="D14" s="13">
        <v>1</v>
      </c>
      <c r="E14" s="15">
        <v>1</v>
      </c>
      <c r="F14" s="15">
        <v>5</v>
      </c>
      <c r="G14" s="15">
        <f t="shared" si="2"/>
        <v>5</v>
      </c>
      <c r="H14" s="13">
        <f t="shared" si="3"/>
        <v>5</v>
      </c>
      <c r="I14" s="13" t="s">
        <v>11</v>
      </c>
      <c r="J14" s="13" t="s">
        <v>153</v>
      </c>
      <c r="K14" s="13" t="s">
        <v>141</v>
      </c>
    </row>
    <row r="15" spans="1:24" ht="75" x14ac:dyDescent="0.25">
      <c r="A15" s="11">
        <v>13</v>
      </c>
      <c r="B15" s="11" t="s">
        <v>154</v>
      </c>
      <c r="C15" s="11" t="s">
        <v>20</v>
      </c>
      <c r="D15" s="11">
        <v>1</v>
      </c>
      <c r="E15" s="12">
        <v>1</v>
      </c>
      <c r="F15" s="12">
        <v>3</v>
      </c>
      <c r="G15" s="11">
        <f t="shared" si="2"/>
        <v>3</v>
      </c>
      <c r="H15" s="11">
        <f t="shared" si="3"/>
        <v>3</v>
      </c>
      <c r="I15" s="11" t="s">
        <v>11</v>
      </c>
      <c r="J15" s="11" t="s">
        <v>143</v>
      </c>
      <c r="K15" s="11" t="s">
        <v>141</v>
      </c>
    </row>
    <row r="16" spans="1:24" ht="93.75" x14ac:dyDescent="0.25">
      <c r="A16" s="13">
        <v>14</v>
      </c>
      <c r="B16" s="13" t="s">
        <v>155</v>
      </c>
      <c r="C16" s="14" t="s">
        <v>20</v>
      </c>
      <c r="D16" s="13">
        <v>1</v>
      </c>
      <c r="E16" s="15">
        <v>1</v>
      </c>
      <c r="F16" s="15">
        <v>3</v>
      </c>
      <c r="G16" s="15">
        <f t="shared" si="2"/>
        <v>3</v>
      </c>
      <c r="H16" s="13">
        <f t="shared" si="3"/>
        <v>3</v>
      </c>
      <c r="I16" s="13" t="s">
        <v>11</v>
      </c>
      <c r="J16" s="13" t="s">
        <v>157</v>
      </c>
      <c r="K16" s="13" t="s">
        <v>141</v>
      </c>
    </row>
    <row r="17" spans="1:11" ht="133.5" customHeight="1" x14ac:dyDescent="0.25">
      <c r="A17" s="11">
        <v>15</v>
      </c>
      <c r="B17" s="11" t="s">
        <v>144</v>
      </c>
      <c r="C17" s="11" t="s">
        <v>20</v>
      </c>
      <c r="D17" s="11">
        <v>1</v>
      </c>
      <c r="E17" s="12">
        <v>2</v>
      </c>
      <c r="F17" s="12">
        <v>3</v>
      </c>
      <c r="G17" s="11">
        <f t="shared" si="2"/>
        <v>6</v>
      </c>
      <c r="H17" s="11">
        <f t="shared" si="3"/>
        <v>6</v>
      </c>
      <c r="I17" s="11" t="s">
        <v>11</v>
      </c>
      <c r="J17" s="11" t="s">
        <v>145</v>
      </c>
      <c r="K17" s="11" t="s">
        <v>141</v>
      </c>
    </row>
    <row r="18" spans="1:11" ht="93.75" x14ac:dyDescent="0.25">
      <c r="A18" s="13">
        <v>16</v>
      </c>
      <c r="B18" s="13" t="s">
        <v>38</v>
      </c>
      <c r="C18" s="14" t="s">
        <v>9</v>
      </c>
      <c r="D18" s="13">
        <v>1</v>
      </c>
      <c r="E18" s="15">
        <v>2</v>
      </c>
      <c r="F18" s="15">
        <v>2</v>
      </c>
      <c r="G18" s="15">
        <f t="shared" si="2"/>
        <v>4</v>
      </c>
      <c r="H18" s="13">
        <f t="shared" si="3"/>
        <v>4</v>
      </c>
      <c r="I18" s="13" t="s">
        <v>11</v>
      </c>
      <c r="J18" s="13" t="s">
        <v>59</v>
      </c>
      <c r="K18" s="13" t="s">
        <v>141</v>
      </c>
    </row>
    <row r="19" spans="1:11" ht="150" x14ac:dyDescent="0.25">
      <c r="A19" s="11">
        <v>17</v>
      </c>
      <c r="B19" s="11" t="s">
        <v>39</v>
      </c>
      <c r="C19" s="11" t="s">
        <v>9</v>
      </c>
      <c r="D19" s="11">
        <v>1</v>
      </c>
      <c r="E19" s="12">
        <v>2</v>
      </c>
      <c r="F19" s="12">
        <v>5</v>
      </c>
      <c r="G19" s="11">
        <f t="shared" si="2"/>
        <v>10</v>
      </c>
      <c r="H19" s="11">
        <f t="shared" si="3"/>
        <v>10</v>
      </c>
      <c r="I19" s="11" t="s">
        <v>11</v>
      </c>
      <c r="J19" s="11" t="s">
        <v>65</v>
      </c>
      <c r="K19" s="11" t="s">
        <v>141</v>
      </c>
    </row>
    <row r="20" spans="1:11" ht="93.75" x14ac:dyDescent="0.25">
      <c r="A20" s="13">
        <v>18</v>
      </c>
      <c r="B20" s="13" t="s">
        <v>40</v>
      </c>
      <c r="C20" s="14" t="s">
        <v>9</v>
      </c>
      <c r="D20" s="13">
        <v>1</v>
      </c>
      <c r="E20" s="15">
        <v>3</v>
      </c>
      <c r="F20" s="15">
        <v>5</v>
      </c>
      <c r="G20" s="15">
        <f t="shared" si="2"/>
        <v>15</v>
      </c>
      <c r="H20" s="13">
        <f t="shared" si="3"/>
        <v>15</v>
      </c>
      <c r="I20" s="13" t="s">
        <v>11</v>
      </c>
      <c r="J20" s="13" t="s">
        <v>66</v>
      </c>
      <c r="K20" s="13" t="s">
        <v>141</v>
      </c>
    </row>
    <row r="21" spans="1:11" ht="84.75" customHeight="1" x14ac:dyDescent="0.25">
      <c r="A21" s="11">
        <v>19</v>
      </c>
      <c r="B21" s="11" t="s">
        <v>41</v>
      </c>
      <c r="C21" s="11" t="s">
        <v>9</v>
      </c>
      <c r="D21" s="11">
        <v>1</v>
      </c>
      <c r="E21" s="12">
        <v>3</v>
      </c>
      <c r="F21" s="12">
        <v>4</v>
      </c>
      <c r="G21" s="11">
        <f t="shared" si="2"/>
        <v>12</v>
      </c>
      <c r="H21" s="11">
        <f t="shared" si="3"/>
        <v>12</v>
      </c>
      <c r="I21" s="11" t="s">
        <v>12</v>
      </c>
      <c r="J21" s="11" t="s">
        <v>67</v>
      </c>
      <c r="K21" s="11" t="s">
        <v>141</v>
      </c>
    </row>
    <row r="22" spans="1:11" ht="75" x14ac:dyDescent="0.25">
      <c r="A22" s="13">
        <v>20</v>
      </c>
      <c r="B22" s="13" t="s">
        <v>42</v>
      </c>
      <c r="C22" s="14" t="s">
        <v>9</v>
      </c>
      <c r="D22" s="13">
        <v>1</v>
      </c>
      <c r="E22" s="15">
        <v>2</v>
      </c>
      <c r="F22" s="15">
        <v>3</v>
      </c>
      <c r="G22" s="15">
        <f t="shared" si="2"/>
        <v>6</v>
      </c>
      <c r="H22" s="13">
        <f t="shared" si="3"/>
        <v>6</v>
      </c>
      <c r="I22" s="13" t="s">
        <v>11</v>
      </c>
      <c r="J22" s="13" t="s">
        <v>68</v>
      </c>
      <c r="K22" s="13" t="s">
        <v>141</v>
      </c>
    </row>
    <row r="23" spans="1:11" ht="150" x14ac:dyDescent="0.25">
      <c r="A23" s="11">
        <v>21</v>
      </c>
      <c r="B23" s="11" t="s">
        <v>43</v>
      </c>
      <c r="C23" s="11" t="s">
        <v>9</v>
      </c>
      <c r="D23" s="11">
        <v>1</v>
      </c>
      <c r="E23" s="12">
        <v>2</v>
      </c>
      <c r="F23" s="12">
        <v>4</v>
      </c>
      <c r="G23" s="11">
        <f>E23*F23</f>
        <v>8</v>
      </c>
      <c r="H23" s="11">
        <f>G23</f>
        <v>8</v>
      </c>
      <c r="I23" s="11" t="s">
        <v>12</v>
      </c>
      <c r="J23" s="11" t="s">
        <v>69</v>
      </c>
      <c r="K23" s="11" t="s">
        <v>141</v>
      </c>
    </row>
    <row r="24" spans="1:11" ht="132" customHeight="1" x14ac:dyDescent="0.25">
      <c r="A24" s="13">
        <v>22</v>
      </c>
      <c r="B24" s="13" t="s">
        <v>44</v>
      </c>
      <c r="C24" s="14" t="s">
        <v>9</v>
      </c>
      <c r="D24" s="13">
        <v>1</v>
      </c>
      <c r="E24" s="15">
        <v>2</v>
      </c>
      <c r="F24" s="15">
        <v>4</v>
      </c>
      <c r="G24" s="15">
        <f t="shared" ref="G24:G28" si="4">E24*F24</f>
        <v>8</v>
      </c>
      <c r="H24" s="13">
        <f t="shared" ref="H24:H28" si="5">G24</f>
        <v>8</v>
      </c>
      <c r="I24" s="13" t="s">
        <v>11</v>
      </c>
      <c r="J24" s="13" t="s">
        <v>70</v>
      </c>
      <c r="K24" s="13" t="s">
        <v>141</v>
      </c>
    </row>
    <row r="25" spans="1:11" ht="75" x14ac:dyDescent="0.25">
      <c r="A25" s="11">
        <v>23</v>
      </c>
      <c r="B25" s="11" t="s">
        <v>45</v>
      </c>
      <c r="C25" s="11" t="s">
        <v>9</v>
      </c>
      <c r="D25" s="11">
        <v>1</v>
      </c>
      <c r="E25" s="12">
        <v>1</v>
      </c>
      <c r="F25" s="12">
        <v>2</v>
      </c>
      <c r="G25" s="11">
        <f t="shared" si="4"/>
        <v>2</v>
      </c>
      <c r="H25" s="11">
        <f t="shared" si="5"/>
        <v>2</v>
      </c>
      <c r="I25" s="11" t="s">
        <v>10</v>
      </c>
      <c r="J25" s="11" t="s">
        <v>156</v>
      </c>
      <c r="K25" s="11" t="s">
        <v>141</v>
      </c>
    </row>
    <row r="26" spans="1:11" ht="75" x14ac:dyDescent="0.25">
      <c r="A26" s="13">
        <v>24</v>
      </c>
      <c r="B26" s="13" t="s">
        <v>60</v>
      </c>
      <c r="C26" s="14" t="s">
        <v>9</v>
      </c>
      <c r="D26" s="13">
        <v>1</v>
      </c>
      <c r="E26" s="15">
        <v>1</v>
      </c>
      <c r="F26" s="15">
        <v>3</v>
      </c>
      <c r="G26" s="15">
        <f t="shared" si="4"/>
        <v>3</v>
      </c>
      <c r="H26" s="13">
        <f t="shared" si="5"/>
        <v>3</v>
      </c>
      <c r="I26" s="13" t="s">
        <v>13</v>
      </c>
      <c r="J26" s="13" t="s">
        <v>71</v>
      </c>
      <c r="K26" s="13" t="s">
        <v>141</v>
      </c>
    </row>
    <row r="27" spans="1:11" ht="56.25" x14ac:dyDescent="0.25">
      <c r="A27" s="11">
        <v>25</v>
      </c>
      <c r="B27" s="11" t="s">
        <v>46</v>
      </c>
      <c r="C27" s="11" t="s">
        <v>9</v>
      </c>
      <c r="D27" s="11">
        <v>1</v>
      </c>
      <c r="E27" s="12">
        <v>3</v>
      </c>
      <c r="F27" s="12">
        <v>3</v>
      </c>
      <c r="G27" s="11">
        <f t="shared" si="4"/>
        <v>9</v>
      </c>
      <c r="H27" s="11">
        <f t="shared" si="5"/>
        <v>9</v>
      </c>
      <c r="I27" s="11" t="s">
        <v>11</v>
      </c>
      <c r="J27" s="11" t="s">
        <v>72</v>
      </c>
      <c r="K27" s="11" t="s">
        <v>141</v>
      </c>
    </row>
    <row r="28" spans="1:11" ht="56.25" x14ac:dyDescent="0.25">
      <c r="A28" s="13">
        <v>26</v>
      </c>
      <c r="B28" s="13" t="s">
        <v>48</v>
      </c>
      <c r="C28" s="14" t="s">
        <v>9</v>
      </c>
      <c r="D28" s="13">
        <v>1</v>
      </c>
      <c r="E28" s="15">
        <v>2</v>
      </c>
      <c r="F28" s="15">
        <v>5</v>
      </c>
      <c r="G28" s="15">
        <f t="shared" si="4"/>
        <v>10</v>
      </c>
      <c r="H28" s="13">
        <f t="shared" si="5"/>
        <v>10</v>
      </c>
      <c r="I28" s="13" t="s">
        <v>11</v>
      </c>
      <c r="J28" s="13" t="s">
        <v>73</v>
      </c>
      <c r="K28" s="13" t="s">
        <v>141</v>
      </c>
    </row>
    <row r="29" spans="1:11" ht="75" x14ac:dyDescent="0.25">
      <c r="A29" s="11">
        <v>27</v>
      </c>
      <c r="B29" s="11" t="s">
        <v>49</v>
      </c>
      <c r="C29" s="11" t="s">
        <v>9</v>
      </c>
      <c r="D29" s="11">
        <v>1</v>
      </c>
      <c r="E29" s="12">
        <v>3</v>
      </c>
      <c r="F29" s="12">
        <v>5</v>
      </c>
      <c r="G29" s="11">
        <f t="shared" ref="G29:G32" si="6">E29*F29</f>
        <v>15</v>
      </c>
      <c r="H29" s="11">
        <f t="shared" ref="H29:H32" si="7">G29</f>
        <v>15</v>
      </c>
      <c r="I29" s="11" t="s">
        <v>12</v>
      </c>
      <c r="J29" s="11" t="s">
        <v>74</v>
      </c>
      <c r="K29" s="11" t="s">
        <v>141</v>
      </c>
    </row>
    <row r="30" spans="1:11" ht="93.75" x14ac:dyDescent="0.25">
      <c r="A30" s="13">
        <v>28</v>
      </c>
      <c r="B30" s="13" t="s">
        <v>146</v>
      </c>
      <c r="C30" s="14" t="s">
        <v>9</v>
      </c>
      <c r="D30" s="13">
        <v>1</v>
      </c>
      <c r="E30" s="15">
        <v>3</v>
      </c>
      <c r="F30" s="15">
        <v>5</v>
      </c>
      <c r="G30" s="15">
        <f t="shared" si="6"/>
        <v>15</v>
      </c>
      <c r="H30" s="13">
        <f t="shared" si="7"/>
        <v>15</v>
      </c>
      <c r="I30" s="13" t="s">
        <v>12</v>
      </c>
      <c r="J30" s="13" t="s">
        <v>75</v>
      </c>
      <c r="K30" s="13" t="s">
        <v>141</v>
      </c>
    </row>
    <row r="31" spans="1:11" ht="93.75" x14ac:dyDescent="0.25">
      <c r="A31" s="11">
        <v>29</v>
      </c>
      <c r="B31" s="11" t="s">
        <v>50</v>
      </c>
      <c r="C31" s="11" t="s">
        <v>9</v>
      </c>
      <c r="D31" s="11">
        <v>1</v>
      </c>
      <c r="E31" s="12">
        <v>2</v>
      </c>
      <c r="F31" s="12">
        <v>5</v>
      </c>
      <c r="G31" s="11">
        <f t="shared" si="6"/>
        <v>10</v>
      </c>
      <c r="H31" s="11">
        <f t="shared" si="7"/>
        <v>10</v>
      </c>
      <c r="I31" s="11" t="s">
        <v>13</v>
      </c>
      <c r="J31" s="11" t="s">
        <v>76</v>
      </c>
      <c r="K31" s="11" t="s">
        <v>141</v>
      </c>
    </row>
    <row r="32" spans="1:11" ht="86.25" customHeight="1" x14ac:dyDescent="0.25">
      <c r="A32" s="13">
        <v>30</v>
      </c>
      <c r="B32" s="13" t="s">
        <v>47</v>
      </c>
      <c r="C32" s="14" t="s">
        <v>9</v>
      </c>
      <c r="D32" s="13">
        <v>1</v>
      </c>
      <c r="E32" s="15">
        <v>2</v>
      </c>
      <c r="F32" s="15">
        <v>2</v>
      </c>
      <c r="G32" s="15">
        <f t="shared" si="6"/>
        <v>4</v>
      </c>
      <c r="H32" s="13">
        <f t="shared" si="7"/>
        <v>4</v>
      </c>
      <c r="I32" s="13" t="s">
        <v>13</v>
      </c>
      <c r="J32" s="13" t="s">
        <v>77</v>
      </c>
      <c r="K32" s="13" t="s">
        <v>141</v>
      </c>
    </row>
  </sheetData>
  <mergeCells count="1">
    <mergeCell ref="A1:K1"/>
  </mergeCells>
  <conditionalFormatting sqref="H3:H32">
    <cfRule type="iconSet" priority="1">
      <iconSet iconSet="3Symbols" showValue="0" reverse="1">
        <cfvo type="percent" val="0"/>
        <cfvo type="num" val="4"/>
        <cfvo type="num" val="12"/>
      </iconSet>
    </cfRule>
  </conditionalFormatting>
  <dataValidations count="3">
    <dataValidation type="list" allowBlank="1" showInputMessage="1" showErrorMessage="1" sqref="C3:C32" xr:uid="{9E3BB9DB-7B29-481D-B61E-D6FF8F2E89E6}">
      <formula1>Tipo</formula1>
    </dataValidation>
    <dataValidation type="list" allowBlank="1" showInputMessage="1" showErrorMessage="1" sqref="E3:F32" xr:uid="{8532C361-090D-44A3-9B9A-0226D51640E6}">
      <formula1>Numero</formula1>
    </dataValidation>
    <dataValidation type="list" allowBlank="1" showInputMessage="1" showErrorMessage="1" sqref="I3:I32" xr:uid="{4E64329E-3385-4E08-9327-DBF537FE27A0}">
      <formula1>Accion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6D1D5-C0F8-4862-8277-1721ED58A928}">
  <dimension ref="A1:B82"/>
  <sheetViews>
    <sheetView showGridLines="0" workbookViewId="0">
      <selection activeCell="D37" sqref="D37"/>
    </sheetView>
  </sheetViews>
  <sheetFormatPr baseColWidth="10" defaultRowHeight="15" x14ac:dyDescent="0.25"/>
  <cols>
    <col min="1" max="1" width="22.5703125" customWidth="1"/>
    <col min="2" max="2" width="92.28515625" customWidth="1"/>
  </cols>
  <sheetData>
    <row r="1" spans="1:2" ht="33.75" customHeight="1" thickBot="1" x14ac:dyDescent="0.3">
      <c r="A1" s="31" t="s">
        <v>21</v>
      </c>
      <c r="B1" s="32" t="s">
        <v>78</v>
      </c>
    </row>
    <row r="2" spans="1:2" x14ac:dyDescent="0.25">
      <c r="A2" s="4" t="s">
        <v>14</v>
      </c>
      <c r="B2" s="35" t="s">
        <v>158</v>
      </c>
    </row>
    <row r="3" spans="1:2" x14ac:dyDescent="0.25">
      <c r="A3" s="5" t="s">
        <v>159</v>
      </c>
      <c r="B3" s="36" t="s">
        <v>80</v>
      </c>
    </row>
    <row r="4" spans="1:2" x14ac:dyDescent="0.25">
      <c r="A4" s="6"/>
      <c r="B4" s="36" t="s">
        <v>160</v>
      </c>
    </row>
    <row r="5" spans="1:2" x14ac:dyDescent="0.25">
      <c r="A5" s="6"/>
      <c r="B5" s="36" t="s">
        <v>161</v>
      </c>
    </row>
    <row r="6" spans="1:2" ht="15.75" thickBot="1" x14ac:dyDescent="0.3">
      <c r="A6" s="6"/>
      <c r="B6" s="8"/>
    </row>
    <row r="7" spans="1:2" ht="15.75" thickBot="1" x14ac:dyDescent="0.3">
      <c r="A7" s="29" t="s">
        <v>87</v>
      </c>
      <c r="B7" s="28" t="s">
        <v>79</v>
      </c>
    </row>
    <row r="8" spans="1:2" x14ac:dyDescent="0.25">
      <c r="A8" s="5" t="s">
        <v>15</v>
      </c>
      <c r="B8" s="7" t="s">
        <v>162</v>
      </c>
    </row>
    <row r="9" spans="1:2" x14ac:dyDescent="0.25">
      <c r="A9" s="5" t="s">
        <v>16</v>
      </c>
      <c r="B9" s="7" t="s">
        <v>163</v>
      </c>
    </row>
    <row r="10" spans="1:2" x14ac:dyDescent="0.25">
      <c r="A10" s="5" t="s">
        <v>17</v>
      </c>
      <c r="B10" s="7" t="s">
        <v>164</v>
      </c>
    </row>
    <row r="11" spans="1:2" x14ac:dyDescent="0.25">
      <c r="A11" s="5" t="s">
        <v>18</v>
      </c>
      <c r="B11" s="7" t="s">
        <v>241</v>
      </c>
    </row>
    <row r="12" spans="1:2" x14ac:dyDescent="0.25">
      <c r="A12" s="9" t="s">
        <v>19</v>
      </c>
      <c r="B12" s="37" t="s">
        <v>242</v>
      </c>
    </row>
    <row r="13" spans="1:2" ht="15.75" thickBot="1" x14ac:dyDescent="0.3">
      <c r="A13" s="51"/>
      <c r="B13" s="52"/>
    </row>
    <row r="14" spans="1:2" ht="15.75" thickBot="1" x14ac:dyDescent="0.3">
      <c r="A14" s="29" t="s">
        <v>88</v>
      </c>
      <c r="B14" s="28" t="s">
        <v>82</v>
      </c>
    </row>
    <row r="15" spans="1:2" x14ac:dyDescent="0.25">
      <c r="A15" s="5" t="s">
        <v>15</v>
      </c>
      <c r="B15" s="7" t="s">
        <v>165</v>
      </c>
    </row>
    <row r="16" spans="1:2" x14ac:dyDescent="0.25">
      <c r="A16" s="5" t="s">
        <v>16</v>
      </c>
      <c r="B16" s="7" t="s">
        <v>163</v>
      </c>
    </row>
    <row r="17" spans="1:2" x14ac:dyDescent="0.25">
      <c r="A17" s="5" t="s">
        <v>17</v>
      </c>
      <c r="B17" s="7" t="s">
        <v>166</v>
      </c>
    </row>
    <row r="18" spans="1:2" x14ac:dyDescent="0.25">
      <c r="A18" s="5" t="s">
        <v>18</v>
      </c>
      <c r="B18" s="7" t="s">
        <v>241</v>
      </c>
    </row>
    <row r="19" spans="1:2" x14ac:dyDescent="0.25">
      <c r="A19" s="9" t="s">
        <v>19</v>
      </c>
      <c r="B19" s="37" t="s">
        <v>242</v>
      </c>
    </row>
    <row r="20" spans="1:2" ht="15.75" thickBot="1" x14ac:dyDescent="0.3">
      <c r="A20" s="51"/>
      <c r="B20" s="52"/>
    </row>
    <row r="21" spans="1:2" ht="15.75" thickBot="1" x14ac:dyDescent="0.3">
      <c r="A21" s="29" t="s">
        <v>89</v>
      </c>
      <c r="B21" s="28" t="s">
        <v>83</v>
      </c>
    </row>
    <row r="22" spans="1:2" x14ac:dyDescent="0.25">
      <c r="A22" s="5" t="s">
        <v>15</v>
      </c>
      <c r="B22" s="7" t="s">
        <v>85</v>
      </c>
    </row>
    <row r="23" spans="1:2" x14ac:dyDescent="0.25">
      <c r="A23" s="5" t="s">
        <v>16</v>
      </c>
      <c r="B23" s="7" t="s">
        <v>163</v>
      </c>
    </row>
    <row r="24" spans="1:2" x14ac:dyDescent="0.25">
      <c r="A24" s="5" t="s">
        <v>17</v>
      </c>
      <c r="B24" s="7" t="s">
        <v>167</v>
      </c>
    </row>
    <row r="25" spans="1:2" x14ac:dyDescent="0.25">
      <c r="A25" s="5" t="s">
        <v>18</v>
      </c>
      <c r="B25" s="7" t="s">
        <v>241</v>
      </c>
    </row>
    <row r="26" spans="1:2" x14ac:dyDescent="0.25">
      <c r="A26" s="9" t="s">
        <v>19</v>
      </c>
      <c r="B26" s="37" t="s">
        <v>242</v>
      </c>
    </row>
    <row r="27" spans="1:2" ht="15.75" thickBot="1" x14ac:dyDescent="0.3">
      <c r="A27" s="51"/>
      <c r="B27" s="52"/>
    </row>
    <row r="28" spans="1:2" ht="15.75" thickBot="1" x14ac:dyDescent="0.3">
      <c r="A28" s="29" t="s">
        <v>90</v>
      </c>
      <c r="B28" s="28" t="s">
        <v>84</v>
      </c>
    </row>
    <row r="29" spans="1:2" x14ac:dyDescent="0.25">
      <c r="A29" s="5" t="s">
        <v>15</v>
      </c>
      <c r="B29" s="7" t="s">
        <v>168</v>
      </c>
    </row>
    <row r="30" spans="1:2" x14ac:dyDescent="0.25">
      <c r="A30" s="5" t="s">
        <v>16</v>
      </c>
      <c r="B30" s="7" t="s">
        <v>163</v>
      </c>
    </row>
    <row r="31" spans="1:2" x14ac:dyDescent="0.25">
      <c r="A31" s="5" t="s">
        <v>17</v>
      </c>
      <c r="B31" s="7" t="s">
        <v>169</v>
      </c>
    </row>
    <row r="32" spans="1:2" x14ac:dyDescent="0.25">
      <c r="A32" s="5" t="s">
        <v>18</v>
      </c>
      <c r="B32" s="7" t="s">
        <v>170</v>
      </c>
    </row>
    <row r="33" spans="1:2" x14ac:dyDescent="0.25">
      <c r="A33" s="9" t="s">
        <v>19</v>
      </c>
      <c r="B33" s="38" t="s">
        <v>243</v>
      </c>
    </row>
    <row r="34" spans="1:2" ht="15.75" thickBot="1" x14ac:dyDescent="0.3">
      <c r="A34" s="51"/>
      <c r="B34" s="52"/>
    </row>
    <row r="35" spans="1:2" ht="15.75" thickBot="1" x14ac:dyDescent="0.3">
      <c r="A35" s="29" t="s">
        <v>91</v>
      </c>
      <c r="B35" s="28" t="s">
        <v>86</v>
      </c>
    </row>
    <row r="36" spans="1:2" x14ac:dyDescent="0.25">
      <c r="A36" s="5" t="s">
        <v>15</v>
      </c>
      <c r="B36" s="7" t="s">
        <v>171</v>
      </c>
    </row>
    <row r="37" spans="1:2" x14ac:dyDescent="0.25">
      <c r="A37" s="5" t="s">
        <v>16</v>
      </c>
      <c r="B37" s="7" t="s">
        <v>163</v>
      </c>
    </row>
    <row r="38" spans="1:2" x14ac:dyDescent="0.25">
      <c r="A38" s="5" t="s">
        <v>17</v>
      </c>
      <c r="B38" s="7" t="s">
        <v>172</v>
      </c>
    </row>
    <row r="39" spans="1:2" x14ac:dyDescent="0.25">
      <c r="A39" s="5" t="s">
        <v>18</v>
      </c>
      <c r="B39" s="7" t="s">
        <v>170</v>
      </c>
    </row>
    <row r="40" spans="1:2" x14ac:dyDescent="0.25">
      <c r="A40" s="9" t="s">
        <v>19</v>
      </c>
      <c r="B40" s="38" t="s">
        <v>243</v>
      </c>
    </row>
    <row r="41" spans="1:2" ht="15.75" thickBot="1" x14ac:dyDescent="0.3">
      <c r="A41" s="51"/>
      <c r="B41" s="52"/>
    </row>
    <row r="42" spans="1:2" ht="15.75" thickBot="1" x14ac:dyDescent="0.3"/>
    <row r="43" spans="1:2" x14ac:dyDescent="0.25">
      <c r="A43" s="4" t="s">
        <v>14</v>
      </c>
      <c r="B43" s="35" t="s">
        <v>173</v>
      </c>
    </row>
    <row r="44" spans="1:2" x14ac:dyDescent="0.25">
      <c r="A44" s="5" t="s">
        <v>159</v>
      </c>
      <c r="B44" s="36" t="s">
        <v>80</v>
      </c>
    </row>
    <row r="45" spans="1:2" x14ac:dyDescent="0.25">
      <c r="A45" s="6"/>
      <c r="B45" s="36" t="s">
        <v>174</v>
      </c>
    </row>
    <row r="46" spans="1:2" x14ac:dyDescent="0.25">
      <c r="A46" s="6"/>
      <c r="B46" s="36" t="s">
        <v>161</v>
      </c>
    </row>
    <row r="47" spans="1:2" ht="15.75" thickBot="1" x14ac:dyDescent="0.3">
      <c r="A47" s="6"/>
      <c r="B47" s="8"/>
    </row>
    <row r="48" spans="1:2" ht="15.75" thickBot="1" x14ac:dyDescent="0.3">
      <c r="A48" s="29" t="s">
        <v>92</v>
      </c>
      <c r="B48" s="28" t="s">
        <v>93</v>
      </c>
    </row>
    <row r="49" spans="1:2" x14ac:dyDescent="0.25">
      <c r="A49" s="5" t="s">
        <v>15</v>
      </c>
      <c r="B49" s="7" t="s">
        <v>162</v>
      </c>
    </row>
    <row r="50" spans="1:2" x14ac:dyDescent="0.25">
      <c r="A50" s="5" t="s">
        <v>16</v>
      </c>
      <c r="B50" s="7" t="s">
        <v>175</v>
      </c>
    </row>
    <row r="51" spans="1:2" x14ac:dyDescent="0.25">
      <c r="A51" s="5" t="s">
        <v>17</v>
      </c>
      <c r="B51" s="7" t="s">
        <v>164</v>
      </c>
    </row>
    <row r="52" spans="1:2" x14ac:dyDescent="0.25">
      <c r="A52" s="5" t="s">
        <v>18</v>
      </c>
      <c r="B52" s="7" t="s">
        <v>241</v>
      </c>
    </row>
    <row r="53" spans="1:2" x14ac:dyDescent="0.25">
      <c r="A53" s="9" t="s">
        <v>19</v>
      </c>
      <c r="B53" s="30" t="s">
        <v>81</v>
      </c>
    </row>
    <row r="54" spans="1:2" ht="15.75" thickBot="1" x14ac:dyDescent="0.3">
      <c r="A54" s="51"/>
      <c r="B54" s="52"/>
    </row>
    <row r="55" spans="1:2" ht="15.75" thickBot="1" x14ac:dyDescent="0.3">
      <c r="A55" s="29" t="s">
        <v>94</v>
      </c>
      <c r="B55" s="28" t="s">
        <v>95</v>
      </c>
    </row>
    <row r="56" spans="1:2" x14ac:dyDescent="0.25">
      <c r="A56" s="5" t="s">
        <v>15</v>
      </c>
      <c r="B56" s="7" t="s">
        <v>165</v>
      </c>
    </row>
    <row r="57" spans="1:2" x14ac:dyDescent="0.25">
      <c r="A57" s="5" t="s">
        <v>16</v>
      </c>
      <c r="B57" s="7" t="s">
        <v>175</v>
      </c>
    </row>
    <row r="58" spans="1:2" x14ac:dyDescent="0.25">
      <c r="A58" s="5" t="s">
        <v>17</v>
      </c>
      <c r="B58" s="7" t="s">
        <v>166</v>
      </c>
    </row>
    <row r="59" spans="1:2" x14ac:dyDescent="0.25">
      <c r="A59" s="5" t="s">
        <v>18</v>
      </c>
      <c r="B59" s="7" t="s">
        <v>241</v>
      </c>
    </row>
    <row r="60" spans="1:2" x14ac:dyDescent="0.25">
      <c r="A60" s="9" t="s">
        <v>19</v>
      </c>
      <c r="B60" s="30" t="s">
        <v>81</v>
      </c>
    </row>
    <row r="61" spans="1:2" ht="15.75" thickBot="1" x14ac:dyDescent="0.3">
      <c r="A61" s="51"/>
      <c r="B61" s="52"/>
    </row>
    <row r="62" spans="1:2" ht="15.75" thickBot="1" x14ac:dyDescent="0.3">
      <c r="A62" s="29" t="s">
        <v>96</v>
      </c>
      <c r="B62" s="28" t="s">
        <v>97</v>
      </c>
    </row>
    <row r="63" spans="1:2" x14ac:dyDescent="0.25">
      <c r="A63" s="5" t="s">
        <v>15</v>
      </c>
      <c r="B63" s="7" t="s">
        <v>85</v>
      </c>
    </row>
    <row r="64" spans="1:2" x14ac:dyDescent="0.25">
      <c r="A64" s="5" t="s">
        <v>16</v>
      </c>
      <c r="B64" s="7" t="s">
        <v>175</v>
      </c>
    </row>
    <row r="65" spans="1:2" x14ac:dyDescent="0.25">
      <c r="A65" s="5" t="s">
        <v>17</v>
      </c>
      <c r="B65" s="7" t="s">
        <v>167</v>
      </c>
    </row>
    <row r="66" spans="1:2" x14ac:dyDescent="0.25">
      <c r="A66" s="5" t="s">
        <v>18</v>
      </c>
      <c r="B66" s="7" t="s">
        <v>241</v>
      </c>
    </row>
    <row r="67" spans="1:2" x14ac:dyDescent="0.25">
      <c r="A67" s="9" t="s">
        <v>19</v>
      </c>
      <c r="B67" s="30" t="s">
        <v>81</v>
      </c>
    </row>
    <row r="68" spans="1:2" ht="15.75" thickBot="1" x14ac:dyDescent="0.3">
      <c r="A68" s="51"/>
      <c r="B68" s="52"/>
    </row>
    <row r="69" spans="1:2" ht="15.75" thickBot="1" x14ac:dyDescent="0.3">
      <c r="A69" s="29" t="s">
        <v>98</v>
      </c>
      <c r="B69" s="28" t="s">
        <v>99</v>
      </c>
    </row>
    <row r="70" spans="1:2" x14ac:dyDescent="0.25">
      <c r="A70" s="5" t="s">
        <v>15</v>
      </c>
      <c r="B70" s="7" t="s">
        <v>176</v>
      </c>
    </row>
    <row r="71" spans="1:2" x14ac:dyDescent="0.25">
      <c r="A71" s="5" t="s">
        <v>16</v>
      </c>
      <c r="B71" s="7" t="s">
        <v>175</v>
      </c>
    </row>
    <row r="72" spans="1:2" x14ac:dyDescent="0.25">
      <c r="A72" s="5" t="s">
        <v>17</v>
      </c>
      <c r="B72" s="7" t="s">
        <v>177</v>
      </c>
    </row>
    <row r="73" spans="1:2" x14ac:dyDescent="0.25">
      <c r="A73" s="5" t="s">
        <v>18</v>
      </c>
      <c r="B73" s="7" t="s">
        <v>178</v>
      </c>
    </row>
    <row r="74" spans="1:2" x14ac:dyDescent="0.25">
      <c r="A74" s="9" t="s">
        <v>19</v>
      </c>
      <c r="B74" s="30" t="s">
        <v>81</v>
      </c>
    </row>
    <row r="75" spans="1:2" ht="15.75" thickBot="1" x14ac:dyDescent="0.3">
      <c r="A75" s="51"/>
      <c r="B75" s="52"/>
    </row>
    <row r="76" spans="1:2" ht="15.75" thickBot="1" x14ac:dyDescent="0.3">
      <c r="A76" s="29" t="s">
        <v>100</v>
      </c>
      <c r="B76" s="28" t="s">
        <v>101</v>
      </c>
    </row>
    <row r="77" spans="1:2" x14ac:dyDescent="0.25">
      <c r="A77" s="5" t="s">
        <v>15</v>
      </c>
      <c r="B77" s="7" t="s">
        <v>179</v>
      </c>
    </row>
    <row r="78" spans="1:2" x14ac:dyDescent="0.25">
      <c r="A78" s="5" t="s">
        <v>16</v>
      </c>
      <c r="B78" s="7" t="s">
        <v>175</v>
      </c>
    </row>
    <row r="79" spans="1:2" x14ac:dyDescent="0.25">
      <c r="A79" s="5" t="s">
        <v>17</v>
      </c>
      <c r="B79" s="7" t="s">
        <v>180</v>
      </c>
    </row>
    <row r="80" spans="1:2" x14ac:dyDescent="0.25">
      <c r="A80" s="5" t="s">
        <v>18</v>
      </c>
      <c r="B80" s="7" t="s">
        <v>178</v>
      </c>
    </row>
    <row r="81" spans="1:2" x14ac:dyDescent="0.25">
      <c r="A81" s="9" t="s">
        <v>19</v>
      </c>
      <c r="B81" s="30" t="s">
        <v>81</v>
      </c>
    </row>
    <row r="82" spans="1:2" ht="15.75" thickBot="1" x14ac:dyDescent="0.3">
      <c r="A82" s="51"/>
      <c r="B82" s="52"/>
    </row>
  </sheetData>
  <mergeCells count="10">
    <mergeCell ref="A54:B54"/>
    <mergeCell ref="A61:B61"/>
    <mergeCell ref="A68:B68"/>
    <mergeCell ref="A75:B75"/>
    <mergeCell ref="A82:B82"/>
    <mergeCell ref="A13:B13"/>
    <mergeCell ref="A20:B20"/>
    <mergeCell ref="A27:B27"/>
    <mergeCell ref="A34:B34"/>
    <mergeCell ref="A41:B4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4981A-CE70-4750-ADFC-7FE4C8DA7ED9}">
  <dimension ref="A1:B101"/>
  <sheetViews>
    <sheetView showGridLines="0" topLeftCell="A63" workbookViewId="0">
      <selection activeCell="D65" sqref="D65"/>
    </sheetView>
  </sheetViews>
  <sheetFormatPr baseColWidth="10" defaultRowHeight="15" x14ac:dyDescent="0.25"/>
  <cols>
    <col min="1" max="1" width="27.5703125" customWidth="1"/>
    <col min="2" max="2" width="92.28515625" customWidth="1"/>
  </cols>
  <sheetData>
    <row r="1" spans="1:2" ht="33.75" customHeight="1" thickBot="1" x14ac:dyDescent="0.3">
      <c r="A1" s="31" t="s">
        <v>21</v>
      </c>
      <c r="B1" s="32" t="s">
        <v>102</v>
      </c>
    </row>
    <row r="2" spans="1:2" x14ac:dyDescent="0.25">
      <c r="A2" s="4" t="s">
        <v>14</v>
      </c>
      <c r="B2" s="35" t="s">
        <v>104</v>
      </c>
    </row>
    <row r="3" spans="1:2" x14ac:dyDescent="0.25">
      <c r="A3" s="5" t="s">
        <v>159</v>
      </c>
      <c r="B3" s="36" t="s">
        <v>105</v>
      </c>
    </row>
    <row r="4" spans="1:2" x14ac:dyDescent="0.25">
      <c r="A4" s="6"/>
      <c r="B4" s="36" t="s">
        <v>106</v>
      </c>
    </row>
    <row r="5" spans="1:2" x14ac:dyDescent="0.25">
      <c r="A5" s="6"/>
      <c r="B5" s="36" t="s">
        <v>181</v>
      </c>
    </row>
    <row r="6" spans="1:2" ht="15.75" thickBot="1" x14ac:dyDescent="0.3">
      <c r="A6" s="6"/>
      <c r="B6" s="8"/>
    </row>
    <row r="7" spans="1:2" ht="15.75" thickBot="1" x14ac:dyDescent="0.3">
      <c r="A7" s="29" t="s">
        <v>109</v>
      </c>
      <c r="B7" s="28" t="s">
        <v>103</v>
      </c>
    </row>
    <row r="8" spans="1:2" x14ac:dyDescent="0.25">
      <c r="A8" s="5" t="s">
        <v>15</v>
      </c>
      <c r="B8" s="7" t="s">
        <v>186</v>
      </c>
    </row>
    <row r="9" spans="1:2" x14ac:dyDescent="0.25">
      <c r="A9" s="5" t="s">
        <v>16</v>
      </c>
      <c r="B9" s="7" t="s">
        <v>107</v>
      </c>
    </row>
    <row r="10" spans="1:2" x14ac:dyDescent="0.25">
      <c r="A10" s="5" t="s">
        <v>17</v>
      </c>
      <c r="B10" s="7" t="s">
        <v>187</v>
      </c>
    </row>
    <row r="11" spans="1:2" x14ac:dyDescent="0.25">
      <c r="A11" s="5" t="s">
        <v>18</v>
      </c>
      <c r="B11" s="7" t="s">
        <v>188</v>
      </c>
    </row>
    <row r="12" spans="1:2" x14ac:dyDescent="0.25">
      <c r="A12" s="9" t="s">
        <v>19</v>
      </c>
      <c r="B12" s="38" t="s">
        <v>243</v>
      </c>
    </row>
    <row r="13" spans="1:2" ht="15.75" thickBot="1" x14ac:dyDescent="0.3">
      <c r="A13" s="33"/>
      <c r="B13" s="34"/>
    </row>
    <row r="14" spans="1:2" ht="15.75" thickBot="1" x14ac:dyDescent="0.3">
      <c r="A14" s="29" t="s">
        <v>110</v>
      </c>
      <c r="B14" s="28" t="s">
        <v>108</v>
      </c>
    </row>
    <row r="15" spans="1:2" x14ac:dyDescent="0.25">
      <c r="A15" s="5" t="s">
        <v>15</v>
      </c>
      <c r="B15" s="7" t="s">
        <v>189</v>
      </c>
    </row>
    <row r="16" spans="1:2" x14ac:dyDescent="0.25">
      <c r="A16" s="5" t="s">
        <v>16</v>
      </c>
      <c r="B16" s="7" t="s">
        <v>107</v>
      </c>
    </row>
    <row r="17" spans="1:2" x14ac:dyDescent="0.25">
      <c r="A17" s="5" t="s">
        <v>17</v>
      </c>
      <c r="B17" s="7" t="s">
        <v>190</v>
      </c>
    </row>
    <row r="18" spans="1:2" x14ac:dyDescent="0.25">
      <c r="A18" s="5" t="s">
        <v>18</v>
      </c>
      <c r="B18" s="7" t="s">
        <v>188</v>
      </c>
    </row>
    <row r="19" spans="1:2" x14ac:dyDescent="0.25">
      <c r="A19" s="9" t="s">
        <v>19</v>
      </c>
      <c r="B19" s="30" t="s">
        <v>81</v>
      </c>
    </row>
    <row r="20" spans="1:2" ht="15.75" thickBot="1" x14ac:dyDescent="0.3">
      <c r="A20" s="33"/>
      <c r="B20" s="34"/>
    </row>
    <row r="21" spans="1:2" ht="15.75" thickBot="1" x14ac:dyDescent="0.3">
      <c r="A21" s="29" t="s">
        <v>111</v>
      </c>
      <c r="B21" s="28" t="s">
        <v>112</v>
      </c>
    </row>
    <row r="22" spans="1:2" x14ac:dyDescent="0.25">
      <c r="A22" s="5" t="s">
        <v>15</v>
      </c>
      <c r="B22" s="7" t="s">
        <v>191</v>
      </c>
    </row>
    <row r="23" spans="1:2" x14ac:dyDescent="0.25">
      <c r="A23" s="5" t="s">
        <v>16</v>
      </c>
      <c r="B23" s="7" t="s">
        <v>107</v>
      </c>
    </row>
    <row r="24" spans="1:2" x14ac:dyDescent="0.25">
      <c r="A24" s="5" t="s">
        <v>17</v>
      </c>
      <c r="B24" s="7" t="s">
        <v>192</v>
      </c>
    </row>
    <row r="25" spans="1:2" x14ac:dyDescent="0.25">
      <c r="A25" s="5" t="s">
        <v>18</v>
      </c>
      <c r="B25" s="7" t="s">
        <v>188</v>
      </c>
    </row>
    <row r="26" spans="1:2" x14ac:dyDescent="0.25">
      <c r="A26" s="9" t="s">
        <v>19</v>
      </c>
      <c r="B26" s="30" t="s">
        <v>81</v>
      </c>
    </row>
    <row r="27" spans="1:2" ht="15.75" thickBot="1" x14ac:dyDescent="0.3">
      <c r="A27" s="33"/>
      <c r="B27" s="34"/>
    </row>
    <row r="28" spans="1:2" ht="15.75" thickBot="1" x14ac:dyDescent="0.3"/>
    <row r="29" spans="1:2" x14ac:dyDescent="0.25">
      <c r="A29" s="4" t="s">
        <v>14</v>
      </c>
      <c r="B29" s="35" t="s">
        <v>114</v>
      </c>
    </row>
    <row r="30" spans="1:2" x14ac:dyDescent="0.25">
      <c r="A30" s="5" t="s">
        <v>159</v>
      </c>
      <c r="B30" s="36" t="s">
        <v>105</v>
      </c>
    </row>
    <row r="31" spans="1:2" x14ac:dyDescent="0.25">
      <c r="A31" s="6"/>
      <c r="B31" s="36" t="s">
        <v>123</v>
      </c>
    </row>
    <row r="32" spans="1:2" x14ac:dyDescent="0.25">
      <c r="A32" s="6"/>
      <c r="B32" s="36" t="s">
        <v>181</v>
      </c>
    </row>
    <row r="33" spans="1:2" ht="15.75" thickBot="1" x14ac:dyDescent="0.3">
      <c r="A33" s="6"/>
      <c r="B33" s="8"/>
    </row>
    <row r="34" spans="1:2" ht="15.75" thickBot="1" x14ac:dyDescent="0.3">
      <c r="A34" s="29" t="s">
        <v>113</v>
      </c>
      <c r="B34" s="28" t="s">
        <v>116</v>
      </c>
    </row>
    <row r="35" spans="1:2" x14ac:dyDescent="0.25">
      <c r="A35" s="5" t="s">
        <v>15</v>
      </c>
      <c r="B35" s="7" t="s">
        <v>186</v>
      </c>
    </row>
    <row r="36" spans="1:2" x14ac:dyDescent="0.25">
      <c r="A36" s="5" t="s">
        <v>16</v>
      </c>
      <c r="B36" s="7" t="s">
        <v>115</v>
      </c>
    </row>
    <row r="37" spans="1:2" x14ac:dyDescent="0.25">
      <c r="A37" s="5" t="s">
        <v>17</v>
      </c>
      <c r="B37" s="7" t="s">
        <v>187</v>
      </c>
    </row>
    <row r="38" spans="1:2" x14ac:dyDescent="0.25">
      <c r="A38" s="5" t="s">
        <v>18</v>
      </c>
      <c r="B38" s="7" t="s">
        <v>193</v>
      </c>
    </row>
    <row r="39" spans="1:2" x14ac:dyDescent="0.25">
      <c r="A39" s="9" t="s">
        <v>19</v>
      </c>
      <c r="B39" s="30" t="s">
        <v>81</v>
      </c>
    </row>
    <row r="40" spans="1:2" ht="15.75" thickBot="1" x14ac:dyDescent="0.3">
      <c r="A40" s="33"/>
      <c r="B40" s="34"/>
    </row>
    <row r="41" spans="1:2" ht="15.75" thickBot="1" x14ac:dyDescent="0.3">
      <c r="A41" s="29" t="s">
        <v>119</v>
      </c>
      <c r="B41" s="28" t="s">
        <v>117</v>
      </c>
    </row>
    <row r="42" spans="1:2" x14ac:dyDescent="0.25">
      <c r="A42" s="5" t="s">
        <v>15</v>
      </c>
      <c r="B42" s="7" t="s">
        <v>189</v>
      </c>
    </row>
    <row r="43" spans="1:2" x14ac:dyDescent="0.25">
      <c r="A43" s="5" t="s">
        <v>16</v>
      </c>
      <c r="B43" s="7" t="s">
        <v>115</v>
      </c>
    </row>
    <row r="44" spans="1:2" x14ac:dyDescent="0.25">
      <c r="A44" s="5" t="s">
        <v>17</v>
      </c>
      <c r="B44" s="7" t="s">
        <v>190</v>
      </c>
    </row>
    <row r="45" spans="1:2" x14ac:dyDescent="0.25">
      <c r="A45" s="5" t="s">
        <v>18</v>
      </c>
      <c r="B45" s="7" t="s">
        <v>194</v>
      </c>
    </row>
    <row r="46" spans="1:2" x14ac:dyDescent="0.25">
      <c r="A46" s="9" t="s">
        <v>19</v>
      </c>
      <c r="B46" s="38" t="s">
        <v>243</v>
      </c>
    </row>
    <row r="47" spans="1:2" ht="15.75" thickBot="1" x14ac:dyDescent="0.3">
      <c r="A47" s="33"/>
      <c r="B47" s="34"/>
    </row>
    <row r="48" spans="1:2" ht="15.75" thickBot="1" x14ac:dyDescent="0.3">
      <c r="A48" s="29" t="s">
        <v>120</v>
      </c>
      <c r="B48" s="28" t="s">
        <v>118</v>
      </c>
    </row>
    <row r="49" spans="1:2" x14ac:dyDescent="0.25">
      <c r="A49" s="5" t="s">
        <v>15</v>
      </c>
      <c r="B49" s="7" t="s">
        <v>191</v>
      </c>
    </row>
    <row r="50" spans="1:2" x14ac:dyDescent="0.25">
      <c r="A50" s="5" t="s">
        <v>16</v>
      </c>
      <c r="B50" s="7" t="s">
        <v>115</v>
      </c>
    </row>
    <row r="51" spans="1:2" x14ac:dyDescent="0.25">
      <c r="A51" s="5" t="s">
        <v>17</v>
      </c>
      <c r="B51" s="7" t="s">
        <v>192</v>
      </c>
    </row>
    <row r="52" spans="1:2" x14ac:dyDescent="0.25">
      <c r="A52" s="5" t="s">
        <v>18</v>
      </c>
      <c r="B52" s="7" t="s">
        <v>194</v>
      </c>
    </row>
    <row r="53" spans="1:2" x14ac:dyDescent="0.25">
      <c r="A53" s="9" t="s">
        <v>19</v>
      </c>
      <c r="B53" s="30" t="s">
        <v>81</v>
      </c>
    </row>
    <row r="54" spans="1:2" ht="15.75" thickBot="1" x14ac:dyDescent="0.3">
      <c r="A54" s="33"/>
      <c r="B54" s="34"/>
    </row>
    <row r="55" spans="1:2" ht="15.75" thickBot="1" x14ac:dyDescent="0.3"/>
    <row r="56" spans="1:2" x14ac:dyDescent="0.25">
      <c r="A56" s="4" t="s">
        <v>14</v>
      </c>
      <c r="B56" s="35" t="s">
        <v>121</v>
      </c>
    </row>
    <row r="57" spans="1:2" x14ac:dyDescent="0.25">
      <c r="A57" s="5" t="s">
        <v>159</v>
      </c>
      <c r="B57" s="36" t="s">
        <v>105</v>
      </c>
    </row>
    <row r="58" spans="1:2" x14ac:dyDescent="0.25">
      <c r="A58" s="6"/>
      <c r="B58" s="36" t="s">
        <v>122</v>
      </c>
    </row>
    <row r="59" spans="1:2" x14ac:dyDescent="0.25">
      <c r="A59" s="6"/>
      <c r="B59" s="36" t="s">
        <v>181</v>
      </c>
    </row>
    <row r="60" spans="1:2" ht="15.75" thickBot="1" x14ac:dyDescent="0.3">
      <c r="A60" s="6"/>
      <c r="B60" s="8"/>
    </row>
    <row r="61" spans="1:2" ht="15.75" thickBot="1" x14ac:dyDescent="0.3">
      <c r="A61" s="29" t="s">
        <v>124</v>
      </c>
      <c r="B61" s="28" t="s">
        <v>125</v>
      </c>
    </row>
    <row r="62" spans="1:2" x14ac:dyDescent="0.25">
      <c r="A62" s="5" t="s">
        <v>15</v>
      </c>
      <c r="B62" s="7" t="s">
        <v>186</v>
      </c>
    </row>
    <row r="63" spans="1:2" x14ac:dyDescent="0.25">
      <c r="A63" s="5" t="s">
        <v>16</v>
      </c>
      <c r="B63" s="7" t="s">
        <v>126</v>
      </c>
    </row>
    <row r="64" spans="1:2" x14ac:dyDescent="0.25">
      <c r="A64" s="5" t="s">
        <v>17</v>
      </c>
      <c r="B64" s="7" t="s">
        <v>183</v>
      </c>
    </row>
    <row r="65" spans="1:2" x14ac:dyDescent="0.25">
      <c r="A65" s="5" t="s">
        <v>18</v>
      </c>
      <c r="B65" s="7" t="s">
        <v>195</v>
      </c>
    </row>
    <row r="66" spans="1:2" x14ac:dyDescent="0.25">
      <c r="A66" s="9" t="s">
        <v>19</v>
      </c>
      <c r="B66" s="30" t="s">
        <v>81</v>
      </c>
    </row>
    <row r="67" spans="1:2" ht="15.75" thickBot="1" x14ac:dyDescent="0.3">
      <c r="A67" s="33"/>
      <c r="B67" s="34"/>
    </row>
    <row r="68" spans="1:2" ht="15.75" thickBot="1" x14ac:dyDescent="0.3">
      <c r="A68" s="29" t="s">
        <v>127</v>
      </c>
      <c r="B68" s="28" t="s">
        <v>128</v>
      </c>
    </row>
    <row r="69" spans="1:2" x14ac:dyDescent="0.25">
      <c r="A69" s="5" t="s">
        <v>15</v>
      </c>
      <c r="B69" s="7" t="s">
        <v>196</v>
      </c>
    </row>
    <row r="70" spans="1:2" x14ac:dyDescent="0.25">
      <c r="A70" s="5" t="s">
        <v>16</v>
      </c>
      <c r="B70" s="7" t="s">
        <v>126</v>
      </c>
    </row>
    <row r="71" spans="1:2" x14ac:dyDescent="0.25">
      <c r="A71" s="5" t="s">
        <v>17</v>
      </c>
      <c r="B71" s="7" t="s">
        <v>197</v>
      </c>
    </row>
    <row r="72" spans="1:2" x14ac:dyDescent="0.25">
      <c r="A72" s="5" t="s">
        <v>18</v>
      </c>
      <c r="B72" s="7" t="s">
        <v>240</v>
      </c>
    </row>
    <row r="73" spans="1:2" x14ac:dyDescent="0.25">
      <c r="A73" s="9" t="s">
        <v>19</v>
      </c>
      <c r="B73" s="37" t="s">
        <v>245</v>
      </c>
    </row>
    <row r="74" spans="1:2" ht="15.75" thickBot="1" x14ac:dyDescent="0.3">
      <c r="A74" s="33"/>
      <c r="B74" s="34"/>
    </row>
    <row r="75" spans="1:2" ht="15.75" thickBot="1" x14ac:dyDescent="0.3">
      <c r="A75" s="29" t="s">
        <v>130</v>
      </c>
      <c r="B75" s="28" t="s">
        <v>129</v>
      </c>
    </row>
    <row r="76" spans="1:2" x14ac:dyDescent="0.25">
      <c r="A76" s="5" t="s">
        <v>15</v>
      </c>
      <c r="B76" s="7" t="s">
        <v>131</v>
      </c>
    </row>
    <row r="77" spans="1:2" x14ac:dyDescent="0.25">
      <c r="A77" s="5" t="s">
        <v>16</v>
      </c>
      <c r="B77" s="7" t="s">
        <v>126</v>
      </c>
    </row>
    <row r="78" spans="1:2" x14ac:dyDescent="0.25">
      <c r="A78" s="5" t="s">
        <v>17</v>
      </c>
      <c r="B78" s="7" t="s">
        <v>198</v>
      </c>
    </row>
    <row r="79" spans="1:2" x14ac:dyDescent="0.25">
      <c r="A79" s="5" t="s">
        <v>18</v>
      </c>
      <c r="B79" s="7" t="s">
        <v>195</v>
      </c>
    </row>
    <row r="80" spans="1:2" x14ac:dyDescent="0.25">
      <c r="A80" s="9" t="s">
        <v>19</v>
      </c>
      <c r="B80" s="30" t="s">
        <v>81</v>
      </c>
    </row>
    <row r="81" spans="1:2" ht="15.75" thickBot="1" x14ac:dyDescent="0.3">
      <c r="A81" s="33"/>
      <c r="B81" s="34"/>
    </row>
    <row r="82" spans="1:2" ht="15.75" thickBot="1" x14ac:dyDescent="0.3"/>
    <row r="83" spans="1:2" x14ac:dyDescent="0.25">
      <c r="A83" s="4" t="s">
        <v>14</v>
      </c>
      <c r="B83" s="35" t="s">
        <v>135</v>
      </c>
    </row>
    <row r="84" spans="1:2" x14ac:dyDescent="0.25">
      <c r="A84" s="5" t="s">
        <v>159</v>
      </c>
      <c r="B84" s="36" t="s">
        <v>105</v>
      </c>
    </row>
    <row r="85" spans="1:2" x14ac:dyDescent="0.25">
      <c r="A85" s="6"/>
      <c r="B85" s="36" t="s">
        <v>133</v>
      </c>
    </row>
    <row r="86" spans="1:2" x14ac:dyDescent="0.25">
      <c r="A86" s="6"/>
      <c r="B86" s="36" t="s">
        <v>181</v>
      </c>
    </row>
    <row r="87" spans="1:2" ht="15.75" thickBot="1" x14ac:dyDescent="0.3">
      <c r="A87" s="6"/>
      <c r="B87" s="8"/>
    </row>
    <row r="88" spans="1:2" ht="15.75" thickBot="1" x14ac:dyDescent="0.3">
      <c r="A88" s="29" t="s">
        <v>134</v>
      </c>
      <c r="B88" s="28" t="s">
        <v>132</v>
      </c>
    </row>
    <row r="89" spans="1:2" x14ac:dyDescent="0.25">
      <c r="A89" s="5" t="s">
        <v>15</v>
      </c>
      <c r="B89" s="7" t="s">
        <v>182</v>
      </c>
    </row>
    <row r="90" spans="1:2" x14ac:dyDescent="0.25">
      <c r="A90" s="5" t="s">
        <v>16</v>
      </c>
      <c r="B90" s="7" t="s">
        <v>136</v>
      </c>
    </row>
    <row r="91" spans="1:2" x14ac:dyDescent="0.25">
      <c r="A91" s="5" t="s">
        <v>17</v>
      </c>
      <c r="B91" s="7" t="s">
        <v>183</v>
      </c>
    </row>
    <row r="92" spans="1:2" x14ac:dyDescent="0.25">
      <c r="A92" s="5" t="s">
        <v>18</v>
      </c>
      <c r="B92" s="7" t="s">
        <v>184</v>
      </c>
    </row>
    <row r="93" spans="1:2" x14ac:dyDescent="0.25">
      <c r="A93" s="9" t="s">
        <v>19</v>
      </c>
      <c r="B93" s="38" t="s">
        <v>243</v>
      </c>
    </row>
    <row r="94" spans="1:2" ht="15.75" thickBot="1" x14ac:dyDescent="0.3">
      <c r="A94" s="33"/>
      <c r="B94" s="34"/>
    </row>
    <row r="95" spans="1:2" ht="15.75" thickBot="1" x14ac:dyDescent="0.3">
      <c r="A95" s="29" t="s">
        <v>137</v>
      </c>
      <c r="B95" s="28" t="s">
        <v>138</v>
      </c>
    </row>
    <row r="96" spans="1:2" x14ac:dyDescent="0.25">
      <c r="A96" s="5" t="s">
        <v>15</v>
      </c>
      <c r="B96" s="7" t="s">
        <v>139</v>
      </c>
    </row>
    <row r="97" spans="1:2" x14ac:dyDescent="0.25">
      <c r="A97" s="5" t="s">
        <v>16</v>
      </c>
      <c r="B97" s="7" t="s">
        <v>136</v>
      </c>
    </row>
    <row r="98" spans="1:2" x14ac:dyDescent="0.25">
      <c r="A98" s="5" t="s">
        <v>17</v>
      </c>
      <c r="B98" s="7" t="s">
        <v>185</v>
      </c>
    </row>
    <row r="99" spans="1:2" x14ac:dyDescent="0.25">
      <c r="A99" s="5" t="s">
        <v>18</v>
      </c>
      <c r="B99" s="7" t="s">
        <v>240</v>
      </c>
    </row>
    <row r="100" spans="1:2" x14ac:dyDescent="0.25">
      <c r="A100" s="9" t="s">
        <v>19</v>
      </c>
      <c r="B100" s="37" t="s">
        <v>245</v>
      </c>
    </row>
    <row r="101" spans="1:2" ht="15.75" thickBot="1" x14ac:dyDescent="0.3">
      <c r="A101" s="33"/>
      <c r="B101" s="3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9DB44-A410-4618-A3B9-580A3105FE86}">
  <dimension ref="A1:K52"/>
  <sheetViews>
    <sheetView showGridLines="0" topLeftCell="A20" workbookViewId="0">
      <selection activeCell="E32" sqref="E32"/>
    </sheetView>
  </sheetViews>
  <sheetFormatPr baseColWidth="10" defaultRowHeight="15" x14ac:dyDescent="0.25"/>
  <cols>
    <col min="1" max="1" width="27.5703125" customWidth="1"/>
    <col min="2" max="2" width="97.5703125" customWidth="1"/>
    <col min="4" max="4" width="15.7109375" customWidth="1"/>
    <col min="5" max="5" width="19" customWidth="1"/>
    <col min="6" max="6" width="18.42578125" customWidth="1"/>
    <col min="7" max="7" width="17.140625" customWidth="1"/>
    <col min="8" max="8" width="22.42578125" customWidth="1"/>
    <col min="9" max="9" width="14.140625" customWidth="1"/>
    <col min="10" max="10" width="13.85546875" customWidth="1"/>
    <col min="11" max="11" width="23.42578125" customWidth="1"/>
  </cols>
  <sheetData>
    <row r="1" spans="1:11" ht="33.75" customHeight="1" thickBot="1" x14ac:dyDescent="0.3">
      <c r="A1" s="31" t="s">
        <v>21</v>
      </c>
      <c r="B1" s="32" t="s">
        <v>199</v>
      </c>
    </row>
    <row r="2" spans="1:11" x14ac:dyDescent="0.25">
      <c r="A2" s="4" t="s">
        <v>14</v>
      </c>
      <c r="B2" s="35" t="s">
        <v>244</v>
      </c>
    </row>
    <row r="3" spans="1:11" x14ac:dyDescent="0.25">
      <c r="A3" s="5" t="s">
        <v>159</v>
      </c>
      <c r="B3" s="36" t="s">
        <v>200</v>
      </c>
    </row>
    <row r="4" spans="1:11" x14ac:dyDescent="0.25">
      <c r="A4" s="6"/>
      <c r="B4" s="36" t="s">
        <v>201</v>
      </c>
    </row>
    <row r="5" spans="1:11" x14ac:dyDescent="0.25">
      <c r="A5" s="6"/>
      <c r="B5" s="36" t="s">
        <v>202</v>
      </c>
    </row>
    <row r="6" spans="1:11" ht="15.75" thickBot="1" x14ac:dyDescent="0.3">
      <c r="A6" s="6"/>
      <c r="B6" s="8"/>
    </row>
    <row r="7" spans="1:11" ht="15.75" thickBot="1" x14ac:dyDescent="0.3">
      <c r="A7" s="29" t="s">
        <v>203</v>
      </c>
      <c r="B7" s="28" t="s">
        <v>204</v>
      </c>
    </row>
    <row r="8" spans="1:11" ht="15.75" thickBot="1" x14ac:dyDescent="0.3">
      <c r="A8" s="5" t="s">
        <v>15</v>
      </c>
      <c r="B8" s="7" t="s">
        <v>206</v>
      </c>
      <c r="D8" s="29" t="s">
        <v>246</v>
      </c>
      <c r="E8" s="53" t="s">
        <v>247</v>
      </c>
      <c r="F8" s="53"/>
      <c r="G8" s="53"/>
      <c r="H8" s="53"/>
      <c r="I8" s="53"/>
      <c r="J8" s="53"/>
      <c r="K8" s="54"/>
    </row>
    <row r="9" spans="1:11" x14ac:dyDescent="0.25">
      <c r="A9" s="5" t="s">
        <v>16</v>
      </c>
      <c r="B9" s="7" t="s">
        <v>210</v>
      </c>
      <c r="D9" s="5" t="s">
        <v>15</v>
      </c>
      <c r="E9" s="55" t="s">
        <v>279</v>
      </c>
      <c r="F9" s="55"/>
      <c r="G9" s="55"/>
      <c r="H9" s="55"/>
      <c r="I9" s="55"/>
      <c r="J9" s="55"/>
      <c r="K9" s="56"/>
    </row>
    <row r="10" spans="1:11" x14ac:dyDescent="0.25">
      <c r="A10" s="5" t="s">
        <v>17</v>
      </c>
      <c r="B10" s="7" t="s">
        <v>231</v>
      </c>
      <c r="D10" s="5" t="s">
        <v>16</v>
      </c>
      <c r="E10" s="55" t="s">
        <v>280</v>
      </c>
      <c r="F10" s="55"/>
      <c r="G10" s="55"/>
      <c r="H10" s="55"/>
      <c r="I10" s="55"/>
      <c r="J10" s="55"/>
      <c r="K10" s="56"/>
    </row>
    <row r="11" spans="1:11" x14ac:dyDescent="0.25">
      <c r="A11" s="5" t="s">
        <v>205</v>
      </c>
      <c r="B11" s="7" t="s">
        <v>211</v>
      </c>
      <c r="D11" s="5" t="s">
        <v>17</v>
      </c>
      <c r="E11" s="55" t="s">
        <v>281</v>
      </c>
      <c r="F11" s="55"/>
      <c r="G11" s="55"/>
      <c r="H11" s="55"/>
      <c r="I11" s="55"/>
      <c r="J11" s="55"/>
      <c r="K11" s="56"/>
    </row>
    <row r="12" spans="1:11" x14ac:dyDescent="0.25">
      <c r="A12" s="5" t="s">
        <v>18</v>
      </c>
      <c r="B12" s="7" t="s">
        <v>209</v>
      </c>
      <c r="D12" s="5"/>
      <c r="K12" s="39"/>
    </row>
    <row r="13" spans="1:11" x14ac:dyDescent="0.25">
      <c r="A13" s="9" t="s">
        <v>19</v>
      </c>
      <c r="B13" s="38" t="s">
        <v>243</v>
      </c>
      <c r="D13" s="5"/>
      <c r="E13" s="46" t="s">
        <v>259</v>
      </c>
      <c r="F13" s="47" t="s">
        <v>260</v>
      </c>
      <c r="G13" s="48" t="s">
        <v>257</v>
      </c>
      <c r="H13" s="48" t="s">
        <v>258</v>
      </c>
      <c r="I13" s="48" t="s">
        <v>262</v>
      </c>
      <c r="J13" s="48" t="s">
        <v>261</v>
      </c>
      <c r="K13" s="44"/>
    </row>
    <row r="14" spans="1:11" ht="15.75" thickBot="1" x14ac:dyDescent="0.3">
      <c r="A14" s="33"/>
      <c r="B14" s="34"/>
      <c r="D14" s="5"/>
      <c r="E14" s="43" t="s">
        <v>248</v>
      </c>
      <c r="F14" s="3" t="s">
        <v>253</v>
      </c>
      <c r="G14" s="42">
        <v>123456</v>
      </c>
      <c r="H14" s="49" t="s">
        <v>264</v>
      </c>
      <c r="I14" s="3" t="s">
        <v>269</v>
      </c>
      <c r="J14" s="43" t="s">
        <v>274</v>
      </c>
      <c r="K14" s="44"/>
    </row>
    <row r="15" spans="1:11" ht="15.75" thickBot="1" x14ac:dyDescent="0.3">
      <c r="A15" s="29" t="s">
        <v>213</v>
      </c>
      <c r="B15" s="28" t="s">
        <v>208</v>
      </c>
      <c r="D15" s="45"/>
      <c r="E15" s="3" t="s">
        <v>249</v>
      </c>
      <c r="F15" s="42" t="s">
        <v>254</v>
      </c>
      <c r="G15" s="43">
        <v>654321</v>
      </c>
      <c r="H15" s="49" t="s">
        <v>265</v>
      </c>
      <c r="I15" s="43" t="s">
        <v>270</v>
      </c>
      <c r="J15" s="43" t="s">
        <v>275</v>
      </c>
      <c r="K15" s="39"/>
    </row>
    <row r="16" spans="1:11" x14ac:dyDescent="0.25">
      <c r="A16" s="5" t="s">
        <v>15</v>
      </c>
      <c r="B16" s="7" t="s">
        <v>207</v>
      </c>
      <c r="D16" s="5"/>
      <c r="E16" s="43" t="s">
        <v>250</v>
      </c>
      <c r="F16" s="3" t="s">
        <v>255</v>
      </c>
      <c r="G16" s="42">
        <v>254634</v>
      </c>
      <c r="H16" s="49" t="s">
        <v>266</v>
      </c>
      <c r="I16" s="42" t="s">
        <v>271</v>
      </c>
      <c r="J16" s="42" t="s">
        <v>276</v>
      </c>
      <c r="K16" s="44"/>
    </row>
    <row r="17" spans="1:11" x14ac:dyDescent="0.25">
      <c r="A17" s="5" t="s">
        <v>16</v>
      </c>
      <c r="B17" s="7" t="s">
        <v>210</v>
      </c>
      <c r="D17" s="5"/>
      <c r="E17" s="42" t="s">
        <v>251</v>
      </c>
      <c r="F17" s="42" t="s">
        <v>256</v>
      </c>
      <c r="G17" s="42">
        <v>458756</v>
      </c>
      <c r="H17" s="49" t="s">
        <v>267</v>
      </c>
      <c r="I17" s="42" t="s">
        <v>272</v>
      </c>
      <c r="J17" s="42" t="s">
        <v>277</v>
      </c>
      <c r="K17" s="44"/>
    </row>
    <row r="18" spans="1:11" x14ac:dyDescent="0.25">
      <c r="A18" s="5" t="s">
        <v>17</v>
      </c>
      <c r="B18" s="7" t="s">
        <v>232</v>
      </c>
      <c r="D18" s="5"/>
      <c r="E18" s="42" t="s">
        <v>252</v>
      </c>
      <c r="F18" s="43" t="s">
        <v>263</v>
      </c>
      <c r="G18" s="3">
        <v>254865</v>
      </c>
      <c r="H18" s="49" t="s">
        <v>268</v>
      </c>
      <c r="I18" s="3" t="s">
        <v>273</v>
      </c>
      <c r="J18" s="42" t="s">
        <v>278</v>
      </c>
      <c r="K18" s="44"/>
    </row>
    <row r="19" spans="1:11" x14ac:dyDescent="0.25">
      <c r="A19" s="5" t="s">
        <v>205</v>
      </c>
      <c r="B19" s="7" t="s">
        <v>212</v>
      </c>
      <c r="D19" s="5"/>
      <c r="E19" s="41"/>
      <c r="K19" s="39"/>
    </row>
    <row r="20" spans="1:11" x14ac:dyDescent="0.25">
      <c r="A20" s="5" t="s">
        <v>18</v>
      </c>
      <c r="B20" s="7" t="s">
        <v>219</v>
      </c>
      <c r="D20" s="5" t="s">
        <v>18</v>
      </c>
      <c r="E20" s="55" t="s">
        <v>282</v>
      </c>
      <c r="F20" s="55"/>
      <c r="G20" s="55"/>
      <c r="H20" s="55"/>
      <c r="I20" s="55"/>
      <c r="J20" s="55"/>
      <c r="K20" s="56"/>
    </row>
    <row r="21" spans="1:11" x14ac:dyDescent="0.25">
      <c r="A21" s="9" t="s">
        <v>19</v>
      </c>
      <c r="B21" s="38" t="s">
        <v>243</v>
      </c>
      <c r="D21" s="9" t="s">
        <v>19</v>
      </c>
      <c r="E21" s="57" t="s">
        <v>81</v>
      </c>
      <c r="F21" s="57"/>
      <c r="G21" s="57"/>
      <c r="H21" s="57"/>
      <c r="I21" s="57"/>
      <c r="J21" s="57"/>
      <c r="K21" s="58"/>
    </row>
    <row r="22" spans="1:11" ht="15.75" thickBot="1" x14ac:dyDescent="0.3">
      <c r="A22" s="33"/>
      <c r="B22" s="34"/>
      <c r="D22" s="33"/>
      <c r="E22" s="40"/>
      <c r="F22" s="40"/>
      <c r="G22" s="40"/>
      <c r="H22" s="40"/>
      <c r="I22" s="40"/>
      <c r="J22" s="40"/>
      <c r="K22" s="34"/>
    </row>
    <row r="23" spans="1:11" ht="15.75" thickBot="1" x14ac:dyDescent="0.3">
      <c r="A23" s="29" t="s">
        <v>214</v>
      </c>
      <c r="B23" s="28" t="s">
        <v>218</v>
      </c>
    </row>
    <row r="24" spans="1:11" x14ac:dyDescent="0.25">
      <c r="A24" s="5" t="s">
        <v>15</v>
      </c>
      <c r="B24" s="7" t="s">
        <v>233</v>
      </c>
    </row>
    <row r="25" spans="1:11" x14ac:dyDescent="0.25">
      <c r="A25" s="5" t="s">
        <v>16</v>
      </c>
      <c r="B25" s="7" t="s">
        <v>210</v>
      </c>
    </row>
    <row r="26" spans="1:11" x14ac:dyDescent="0.25">
      <c r="A26" s="5" t="s">
        <v>205</v>
      </c>
      <c r="B26" s="7" t="s">
        <v>215</v>
      </c>
    </row>
    <row r="27" spans="1:11" x14ac:dyDescent="0.25">
      <c r="A27" s="5" t="s">
        <v>17</v>
      </c>
      <c r="B27" s="7" t="s">
        <v>216</v>
      </c>
    </row>
    <row r="28" spans="1:11" x14ac:dyDescent="0.25">
      <c r="A28" s="5" t="s">
        <v>18</v>
      </c>
      <c r="B28" s="7" t="s">
        <v>217</v>
      </c>
    </row>
    <row r="29" spans="1:11" x14ac:dyDescent="0.25">
      <c r="A29" s="9" t="s">
        <v>19</v>
      </c>
      <c r="B29" s="38" t="s">
        <v>243</v>
      </c>
    </row>
    <row r="30" spans="1:11" ht="15.75" thickBot="1" x14ac:dyDescent="0.3">
      <c r="A30" s="33"/>
      <c r="B30" s="34"/>
    </row>
    <row r="31" spans="1:11" ht="15.75" thickBot="1" x14ac:dyDescent="0.3">
      <c r="A31" s="29" t="s">
        <v>220</v>
      </c>
      <c r="B31" s="28" t="s">
        <v>223</v>
      </c>
    </row>
    <row r="32" spans="1:11" x14ac:dyDescent="0.25">
      <c r="A32" s="5" t="s">
        <v>15</v>
      </c>
      <c r="B32" s="7" t="s">
        <v>221</v>
      </c>
    </row>
    <row r="33" spans="1:2" x14ac:dyDescent="0.25">
      <c r="A33" s="5" t="s">
        <v>16</v>
      </c>
      <c r="B33" s="7" t="s">
        <v>234</v>
      </c>
    </row>
    <row r="34" spans="1:2" x14ac:dyDescent="0.25">
      <c r="A34" s="5" t="s">
        <v>17</v>
      </c>
      <c r="B34" s="7" t="s">
        <v>222</v>
      </c>
    </row>
    <row r="35" spans="1:2" x14ac:dyDescent="0.25">
      <c r="A35" s="5" t="s">
        <v>18</v>
      </c>
      <c r="B35" s="7" t="s">
        <v>225</v>
      </c>
    </row>
    <row r="36" spans="1:2" x14ac:dyDescent="0.25">
      <c r="A36" s="9" t="s">
        <v>19</v>
      </c>
      <c r="B36" s="38" t="s">
        <v>243</v>
      </c>
    </row>
    <row r="37" spans="1:2" ht="15.75" thickBot="1" x14ac:dyDescent="0.3">
      <c r="A37" s="33"/>
      <c r="B37" s="34"/>
    </row>
    <row r="38" spans="1:2" ht="15.75" thickBot="1" x14ac:dyDescent="0.3">
      <c r="A38" s="29" t="s">
        <v>226</v>
      </c>
      <c r="B38" s="28" t="s">
        <v>224</v>
      </c>
    </row>
    <row r="39" spans="1:2" x14ac:dyDescent="0.25">
      <c r="A39" s="5" t="s">
        <v>15</v>
      </c>
      <c r="B39" s="7">
        <v>15.1</v>
      </c>
    </row>
    <row r="40" spans="1:2" x14ac:dyDescent="0.25">
      <c r="A40" s="5" t="s">
        <v>16</v>
      </c>
      <c r="B40" s="7" t="s">
        <v>235</v>
      </c>
    </row>
    <row r="41" spans="1:2" x14ac:dyDescent="0.25">
      <c r="A41" s="5" t="s">
        <v>17</v>
      </c>
      <c r="B41" s="7" t="s">
        <v>229</v>
      </c>
    </row>
    <row r="42" spans="1:2" x14ac:dyDescent="0.25">
      <c r="A42" s="5" t="s">
        <v>205</v>
      </c>
      <c r="B42" s="7" t="s">
        <v>230</v>
      </c>
    </row>
    <row r="43" spans="1:2" x14ac:dyDescent="0.25">
      <c r="A43" s="5" t="s">
        <v>18</v>
      </c>
      <c r="B43" s="7" t="s">
        <v>236</v>
      </c>
    </row>
    <row r="44" spans="1:2" x14ac:dyDescent="0.25">
      <c r="A44" s="9" t="s">
        <v>19</v>
      </c>
      <c r="B44" s="37" t="s">
        <v>245</v>
      </c>
    </row>
    <row r="45" spans="1:2" ht="15.75" thickBot="1" x14ac:dyDescent="0.3">
      <c r="A45" s="33"/>
      <c r="B45" s="34"/>
    </row>
    <row r="46" spans="1:2" ht="15.75" thickBot="1" x14ac:dyDescent="0.3">
      <c r="A46" s="29" t="s">
        <v>228</v>
      </c>
      <c r="B46" s="28" t="s">
        <v>227</v>
      </c>
    </row>
    <row r="47" spans="1:2" x14ac:dyDescent="0.25">
      <c r="A47" s="5" t="s">
        <v>15</v>
      </c>
      <c r="B47" s="7" t="s">
        <v>237</v>
      </c>
    </row>
    <row r="48" spans="1:2" x14ac:dyDescent="0.25">
      <c r="A48" s="5" t="s">
        <v>16</v>
      </c>
      <c r="B48" s="7" t="s">
        <v>235</v>
      </c>
    </row>
    <row r="49" spans="1:2" x14ac:dyDescent="0.25">
      <c r="A49" s="5" t="s">
        <v>17</v>
      </c>
      <c r="B49" s="7" t="s">
        <v>238</v>
      </c>
    </row>
    <row r="50" spans="1:2" x14ac:dyDescent="0.25">
      <c r="A50" s="5" t="s">
        <v>18</v>
      </c>
      <c r="B50" s="7" t="s">
        <v>239</v>
      </c>
    </row>
    <row r="51" spans="1:2" x14ac:dyDescent="0.25">
      <c r="A51" s="9" t="s">
        <v>19</v>
      </c>
      <c r="B51" s="30" t="s">
        <v>81</v>
      </c>
    </row>
    <row r="52" spans="1:2" ht="15.75" thickBot="1" x14ac:dyDescent="0.3">
      <c r="A52" s="33"/>
      <c r="B52" s="34"/>
    </row>
  </sheetData>
  <mergeCells count="6">
    <mergeCell ref="E8:K8"/>
    <mergeCell ref="E10:K10"/>
    <mergeCell ref="E9:K9"/>
    <mergeCell ref="E21:K21"/>
    <mergeCell ref="E11:K11"/>
    <mergeCell ref="E20:K20"/>
  </mergeCells>
  <hyperlinks>
    <hyperlink ref="H14" r:id="rId1" xr:uid="{E53EEFD5-9629-4D18-9AAE-54DC6B4CE423}"/>
    <hyperlink ref="H15" r:id="rId2" xr:uid="{D3CF114E-BCA7-4F17-BEC4-93B11812EA94}"/>
    <hyperlink ref="H16" r:id="rId3" xr:uid="{D87961BF-EB6D-48CE-896E-DE69908C215C}"/>
    <hyperlink ref="H17" r:id="rId4" xr:uid="{75DAF861-B155-40FA-8553-F8D5F49FD6A0}"/>
    <hyperlink ref="H18" r:id="rId5" xr:uid="{6DFE3936-E895-4A6B-A84D-4DA27608BA9D}"/>
  </hyperlinks>
  <pageMargins left="0.7" right="0.7" top="0.75" bottom="0.75" header="0.3" footer="0.3"/>
  <pageSetup orientation="portrait"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3C8F5-BDF9-42D6-873D-DAC0BD643BE2}">
  <sheetPr>
    <tabColor rgb="FF92D050"/>
  </sheetPr>
  <dimension ref="A1:E44"/>
  <sheetViews>
    <sheetView showGridLines="0" tabSelected="1" topLeftCell="A14" zoomScaleNormal="100" workbookViewId="0">
      <selection activeCell="E36" sqref="E36"/>
    </sheetView>
  </sheetViews>
  <sheetFormatPr baseColWidth="10" defaultColWidth="11.5703125" defaultRowHeight="18.75" x14ac:dyDescent="0.25"/>
  <cols>
    <col min="1" max="1" width="36" style="1" bestFit="1" customWidth="1"/>
    <col min="2" max="2" width="30.28515625" style="1" bestFit="1" customWidth="1"/>
    <col min="3" max="3" width="58.7109375" style="1" bestFit="1" customWidth="1"/>
    <col min="4" max="4" width="12.140625" style="1" customWidth="1"/>
    <col min="5" max="5" width="61.7109375" style="1" customWidth="1"/>
    <col min="6" max="16384" width="11.5703125" style="1"/>
  </cols>
  <sheetData>
    <row r="1" spans="1:5" x14ac:dyDescent="0.25">
      <c r="A1" s="59" t="s">
        <v>29</v>
      </c>
      <c r="B1" s="60"/>
      <c r="C1" s="61"/>
    </row>
    <row r="2" spans="1:5" ht="41.45" customHeight="1" x14ac:dyDescent="0.25">
      <c r="A2" s="2" t="s">
        <v>22</v>
      </c>
      <c r="B2" s="62" t="s">
        <v>284</v>
      </c>
      <c r="C2" s="63"/>
      <c r="E2" s="10" t="s">
        <v>30</v>
      </c>
    </row>
    <row r="3" spans="1:5" ht="75" x14ac:dyDescent="0.25">
      <c r="A3" s="64" t="s">
        <v>283</v>
      </c>
      <c r="B3" s="65" t="s">
        <v>23</v>
      </c>
      <c r="C3" s="64" t="s">
        <v>297</v>
      </c>
    </row>
    <row r="4" spans="1:5" x14ac:dyDescent="0.25">
      <c r="A4" s="66" t="s">
        <v>24</v>
      </c>
      <c r="B4" s="67" t="s">
        <v>285</v>
      </c>
      <c r="C4" s="66" t="s">
        <v>25</v>
      </c>
    </row>
    <row r="5" spans="1:5" ht="54" customHeight="1" x14ac:dyDescent="0.25">
      <c r="A5" s="65" t="s">
        <v>27</v>
      </c>
      <c r="B5" s="68" t="s">
        <v>298</v>
      </c>
      <c r="C5" s="69"/>
    </row>
    <row r="6" spans="1:5" ht="63.75" customHeight="1" x14ac:dyDescent="0.25">
      <c r="A6" s="67" t="s">
        <v>291</v>
      </c>
      <c r="B6" s="69"/>
      <c r="C6" s="69"/>
    </row>
    <row r="7" spans="1:5" ht="78" customHeight="1" x14ac:dyDescent="0.25">
      <c r="A7" s="65" t="s">
        <v>26</v>
      </c>
      <c r="B7" s="69"/>
      <c r="C7" s="69"/>
    </row>
    <row r="8" spans="1:5" ht="56.25" x14ac:dyDescent="0.25">
      <c r="A8" s="67" t="s">
        <v>289</v>
      </c>
      <c r="B8" s="72" t="s">
        <v>290</v>
      </c>
      <c r="C8" s="70"/>
    </row>
    <row r="9" spans="1:5" ht="36" customHeight="1" x14ac:dyDescent="0.25">
      <c r="A9" s="69" t="s">
        <v>287</v>
      </c>
      <c r="B9" s="69"/>
      <c r="C9" s="69"/>
    </row>
    <row r="10" spans="1:5" ht="36" customHeight="1" x14ac:dyDescent="0.25">
      <c r="A10" s="70" t="s">
        <v>28</v>
      </c>
      <c r="B10" s="70"/>
      <c r="C10" s="70"/>
    </row>
    <row r="11" spans="1:5" ht="36.6" customHeight="1" x14ac:dyDescent="0.25">
      <c r="A11" s="69" t="s">
        <v>286</v>
      </c>
      <c r="B11" s="69"/>
      <c r="C11" s="69"/>
    </row>
    <row r="13" spans="1:5" x14ac:dyDescent="0.25">
      <c r="A13" s="71" t="s">
        <v>288</v>
      </c>
      <c r="B13" s="62" t="s">
        <v>284</v>
      </c>
      <c r="C13" s="63"/>
    </row>
    <row r="14" spans="1:5" ht="75" x14ac:dyDescent="0.25">
      <c r="A14" s="64" t="s">
        <v>283</v>
      </c>
      <c r="B14" s="65" t="s">
        <v>23</v>
      </c>
      <c r="C14" s="64" t="s">
        <v>299</v>
      </c>
    </row>
    <row r="15" spans="1:5" x14ac:dyDescent="0.25">
      <c r="A15" s="66" t="s">
        <v>24</v>
      </c>
      <c r="B15" s="67" t="s">
        <v>285</v>
      </c>
      <c r="C15" s="66" t="s">
        <v>25</v>
      </c>
    </row>
    <row r="16" spans="1:5" ht="65.25" customHeight="1" x14ac:dyDescent="0.25">
      <c r="A16" s="65" t="s">
        <v>27</v>
      </c>
      <c r="B16" s="68" t="s">
        <v>300</v>
      </c>
      <c r="C16" s="69"/>
    </row>
    <row r="17" spans="1:3" ht="66.75" customHeight="1" x14ac:dyDescent="0.25">
      <c r="A17" s="67" t="s">
        <v>291</v>
      </c>
      <c r="B17" s="69"/>
      <c r="C17" s="69"/>
    </row>
    <row r="18" spans="1:3" ht="61.5" customHeight="1" x14ac:dyDescent="0.25">
      <c r="A18" s="64" t="s">
        <v>26</v>
      </c>
      <c r="B18" s="69"/>
      <c r="C18" s="69"/>
    </row>
    <row r="19" spans="1:3" ht="56.25" x14ac:dyDescent="0.25">
      <c r="A19" s="67" t="s">
        <v>289</v>
      </c>
      <c r="B19" s="72" t="s">
        <v>290</v>
      </c>
      <c r="C19" s="70"/>
    </row>
    <row r="20" spans="1:3" ht="29.25" customHeight="1" x14ac:dyDescent="0.25">
      <c r="A20" s="69" t="s">
        <v>287</v>
      </c>
      <c r="B20" s="69"/>
      <c r="C20" s="69"/>
    </row>
    <row r="21" spans="1:3" ht="39" customHeight="1" x14ac:dyDescent="0.25">
      <c r="A21" s="70" t="s">
        <v>28</v>
      </c>
      <c r="B21" s="70"/>
      <c r="C21" s="70"/>
    </row>
    <row r="22" spans="1:3" ht="43.5" customHeight="1" x14ac:dyDescent="0.25">
      <c r="A22" s="69" t="s">
        <v>286</v>
      </c>
      <c r="B22" s="69"/>
      <c r="C22" s="69"/>
    </row>
    <row r="24" spans="1:3" x14ac:dyDescent="0.25">
      <c r="A24" s="71" t="s">
        <v>296</v>
      </c>
      <c r="B24" s="62" t="s">
        <v>292</v>
      </c>
      <c r="C24" s="63"/>
    </row>
    <row r="25" spans="1:3" ht="75" x14ac:dyDescent="0.25">
      <c r="A25" s="64" t="s">
        <v>283</v>
      </c>
      <c r="B25" s="65" t="s">
        <v>23</v>
      </c>
      <c r="C25" s="64" t="s">
        <v>301</v>
      </c>
    </row>
    <row r="26" spans="1:3" x14ac:dyDescent="0.25">
      <c r="A26" s="66" t="s">
        <v>24</v>
      </c>
      <c r="B26" s="67" t="s">
        <v>285</v>
      </c>
      <c r="C26" s="66" t="s">
        <v>25</v>
      </c>
    </row>
    <row r="27" spans="1:3" ht="65.25" customHeight="1" x14ac:dyDescent="0.25">
      <c r="A27" s="65" t="s">
        <v>27</v>
      </c>
      <c r="B27" s="68" t="s">
        <v>302</v>
      </c>
      <c r="C27" s="69"/>
    </row>
    <row r="28" spans="1:3" ht="58.5" customHeight="1" x14ac:dyDescent="0.25">
      <c r="A28" s="67" t="s">
        <v>293</v>
      </c>
      <c r="B28" s="69"/>
      <c r="C28" s="69"/>
    </row>
    <row r="29" spans="1:3" ht="71.25" customHeight="1" x14ac:dyDescent="0.25">
      <c r="A29" s="64" t="s">
        <v>26</v>
      </c>
      <c r="B29" s="69"/>
      <c r="C29" s="69"/>
    </row>
    <row r="30" spans="1:3" ht="56.25" x14ac:dyDescent="0.25">
      <c r="A30" s="67" t="s">
        <v>294</v>
      </c>
      <c r="B30" s="72" t="s">
        <v>295</v>
      </c>
      <c r="C30" s="70"/>
    </row>
    <row r="31" spans="1:3" ht="27" customHeight="1" x14ac:dyDescent="0.25">
      <c r="A31" s="69" t="s">
        <v>287</v>
      </c>
      <c r="B31" s="69"/>
      <c r="C31" s="69"/>
    </row>
    <row r="32" spans="1:3" ht="39" customHeight="1" x14ac:dyDescent="0.25">
      <c r="A32" s="70" t="s">
        <v>28</v>
      </c>
      <c r="B32" s="70"/>
      <c r="C32" s="70"/>
    </row>
    <row r="33" spans="1:3" ht="43.5" customHeight="1" x14ac:dyDescent="0.25">
      <c r="A33" s="69" t="s">
        <v>286</v>
      </c>
      <c r="B33" s="69"/>
      <c r="C33" s="69"/>
    </row>
    <row r="35" spans="1:3" x14ac:dyDescent="0.25">
      <c r="A35" s="71" t="s">
        <v>308</v>
      </c>
      <c r="B35" s="62" t="s">
        <v>303</v>
      </c>
      <c r="C35" s="63"/>
    </row>
    <row r="36" spans="1:3" ht="112.5" x14ac:dyDescent="0.25">
      <c r="A36" s="64" t="s">
        <v>283</v>
      </c>
      <c r="B36" s="65" t="s">
        <v>23</v>
      </c>
      <c r="C36" s="64" t="s">
        <v>304</v>
      </c>
    </row>
    <row r="37" spans="1:3" x14ac:dyDescent="0.25">
      <c r="A37" s="66" t="s">
        <v>24</v>
      </c>
      <c r="B37" s="67" t="s">
        <v>285</v>
      </c>
      <c r="C37" s="66" t="s">
        <v>25</v>
      </c>
    </row>
    <row r="38" spans="1:3" ht="71.25" customHeight="1" x14ac:dyDescent="0.25">
      <c r="A38" s="65" t="s">
        <v>27</v>
      </c>
      <c r="B38" s="68" t="s">
        <v>305</v>
      </c>
      <c r="C38" s="69"/>
    </row>
    <row r="39" spans="1:3" ht="80.25" customHeight="1" x14ac:dyDescent="0.25">
      <c r="A39" s="67" t="s">
        <v>293</v>
      </c>
      <c r="B39" s="69"/>
      <c r="C39" s="69"/>
    </row>
    <row r="40" spans="1:3" ht="84" customHeight="1" x14ac:dyDescent="0.25">
      <c r="A40" s="64" t="s">
        <v>26</v>
      </c>
      <c r="B40" s="69"/>
      <c r="C40" s="69"/>
    </row>
    <row r="41" spans="1:3" ht="56.25" x14ac:dyDescent="0.25">
      <c r="A41" s="67" t="s">
        <v>306</v>
      </c>
      <c r="B41" s="72" t="s">
        <v>307</v>
      </c>
      <c r="C41" s="70"/>
    </row>
    <row r="42" spans="1:3" x14ac:dyDescent="0.25">
      <c r="A42" s="69" t="s">
        <v>287</v>
      </c>
      <c r="B42" s="69"/>
      <c r="C42" s="69"/>
    </row>
    <row r="43" spans="1:3" ht="36.75" customHeight="1" x14ac:dyDescent="0.25">
      <c r="A43" s="70" t="s">
        <v>28</v>
      </c>
      <c r="B43" s="70"/>
      <c r="C43" s="70"/>
    </row>
    <row r="44" spans="1:3" ht="37.5" customHeight="1" x14ac:dyDescent="0.25">
      <c r="A44" s="69" t="s">
        <v>286</v>
      </c>
      <c r="B44" s="69"/>
      <c r="C44" s="69"/>
    </row>
  </sheetData>
  <mergeCells count="25">
    <mergeCell ref="A42:C42"/>
    <mergeCell ref="A43:C43"/>
    <mergeCell ref="A44:C44"/>
    <mergeCell ref="A32:C32"/>
    <mergeCell ref="A33:C33"/>
    <mergeCell ref="B35:C35"/>
    <mergeCell ref="B38:C40"/>
    <mergeCell ref="B41:C41"/>
    <mergeCell ref="A22:C22"/>
    <mergeCell ref="B24:C24"/>
    <mergeCell ref="B27:C29"/>
    <mergeCell ref="B30:C30"/>
    <mergeCell ref="A31:C31"/>
    <mergeCell ref="B13:C13"/>
    <mergeCell ref="B16:C18"/>
    <mergeCell ref="B19:C19"/>
    <mergeCell ref="A20:C20"/>
    <mergeCell ref="A21:C21"/>
    <mergeCell ref="A11:C11"/>
    <mergeCell ref="B8:C8"/>
    <mergeCell ref="A1:C1"/>
    <mergeCell ref="B2:C2"/>
    <mergeCell ref="B5:C7"/>
    <mergeCell ref="A9:C9"/>
    <mergeCell ref="A10:C1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Matriz de Riesgo</vt:lpstr>
      <vt:lpstr>CPTempetatura</vt:lpstr>
      <vt:lpstr>CPCalculadora</vt:lpstr>
      <vt:lpstr>CPTiendaKOAJ</vt:lpstr>
      <vt:lpstr>InformeGestionIncidentes</vt:lpstr>
      <vt:lpstr>Accion</vt:lpstr>
      <vt:lpstr>Numero</vt:lpstr>
      <vt:lpstr>Tipo</vt:lpstr>
      <vt:lpstr>Tipos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Miguel-PC</dc:creator>
  <cp:lastModifiedBy>Miguel-PC</cp:lastModifiedBy>
  <dcterms:created xsi:type="dcterms:W3CDTF">2023-02-27T14:28:38Z</dcterms:created>
  <dcterms:modified xsi:type="dcterms:W3CDTF">2023-03-06T03:09:01Z</dcterms:modified>
</cp:coreProperties>
</file>