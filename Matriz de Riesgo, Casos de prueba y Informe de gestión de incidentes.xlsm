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C:\Users\Miguel-PC\Desktop\SofkaTraining\Reto Final Calidad\"/>
    </mc:Choice>
  </mc:AlternateContent>
  <xr:revisionPtr revIDLastSave="0" documentId="13_ncr:1_{61378769-9F4B-4209-AFE1-1E617D41082B}" xr6:coauthVersionLast="47" xr6:coauthVersionMax="47" xr10:uidLastSave="{00000000-0000-0000-0000-000000000000}"/>
  <bookViews>
    <workbookView xWindow="-120" yWindow="-120" windowWidth="29040" windowHeight="15720" activeTab="3" xr2:uid="{AF02FBB8-0A87-4B34-9297-94FCF679C14E}"/>
  </bookViews>
  <sheets>
    <sheet name="Matriz de Riesgo" sheetId="6" r:id="rId1"/>
    <sheet name="CPTempetatura" sheetId="4" r:id="rId2"/>
    <sheet name="CPCalculadora" sheetId="13" r:id="rId3"/>
    <sheet name="InformeGestionIncidentes" sheetId="9" r:id="rId4"/>
  </sheets>
  <definedNames>
    <definedName name="Accion">'Matriz de Riesgo'!$X$3:$X$6</definedName>
    <definedName name="Numero">'Matriz de Riesgo'!$W$3:$W$7</definedName>
    <definedName name="Tipo">'Matriz de Riesgo'!$V$3:$V$4</definedName>
    <definedName name="Tipos">'Matriz de Riesgo'!$V$3:$V$4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 i="6" l="1"/>
  <c r="G29" i="6" l="1"/>
  <c r="H29" i="6" s="1"/>
  <c r="G30" i="6"/>
  <c r="H30" i="6" s="1"/>
  <c r="G31" i="6"/>
  <c r="H31" i="6" s="1"/>
  <c r="G32" i="6"/>
  <c r="H32" i="6" s="1"/>
  <c r="G23" i="6"/>
  <c r="H23" i="6" s="1"/>
  <c r="G24" i="6"/>
  <c r="H24" i="6" s="1"/>
  <c r="G25" i="6"/>
  <c r="H25" i="6" s="1"/>
  <c r="G26" i="6"/>
  <c r="H26" i="6" s="1"/>
  <c r="G27" i="6"/>
  <c r="H27" i="6" s="1"/>
  <c r="G28" i="6"/>
  <c r="H28" i="6" s="1"/>
  <c r="G5" i="6"/>
  <c r="H5" i="6" s="1"/>
  <c r="G6" i="6"/>
  <c r="H6" i="6" s="1"/>
  <c r="G7" i="6"/>
  <c r="H7" i="6" s="1"/>
  <c r="G8" i="6"/>
  <c r="H8" i="6" s="1"/>
  <c r="G9" i="6"/>
  <c r="H9" i="6"/>
  <c r="G10" i="6"/>
  <c r="H10" i="6"/>
  <c r="G11" i="6"/>
  <c r="H11" i="6" s="1"/>
  <c r="G12" i="6"/>
  <c r="H12" i="6"/>
  <c r="G13" i="6"/>
  <c r="H13" i="6" s="1"/>
  <c r="G14" i="6"/>
  <c r="H14" i="6"/>
  <c r="G15" i="6"/>
  <c r="H15" i="6" s="1"/>
  <c r="G16" i="6"/>
  <c r="H16" i="6" s="1"/>
  <c r="G17" i="6"/>
  <c r="H17" i="6"/>
  <c r="G18" i="6"/>
  <c r="H18" i="6" s="1"/>
  <c r="G19" i="6"/>
  <c r="H19" i="6" s="1"/>
  <c r="G20" i="6"/>
  <c r="H20" i="6"/>
  <c r="G21" i="6"/>
  <c r="H21" i="6" s="1"/>
  <c r="G22" i="6"/>
  <c r="H22" i="6" s="1"/>
  <c r="G3" i="6"/>
  <c r="G4" i="6"/>
  <c r="H4" i="6" s="1"/>
</calcChain>
</file>

<file path=xl/sharedStrings.xml><?xml version="1.0" encoding="utf-8"?>
<sst xmlns="http://schemas.openxmlformats.org/spreadsheetml/2006/main" count="482" uniqueCount="211">
  <si>
    <t>N°</t>
  </si>
  <si>
    <t>Descripción</t>
  </si>
  <si>
    <t>Impacto</t>
  </si>
  <si>
    <t>Tipo</t>
  </si>
  <si>
    <t>Probabilidad de ocurrencia</t>
  </si>
  <si>
    <t>Severidad</t>
  </si>
  <si>
    <t>Nivel de riesgo</t>
  </si>
  <si>
    <t>Acción</t>
  </si>
  <si>
    <t>Plan de Acción</t>
  </si>
  <si>
    <t>Producto</t>
  </si>
  <si>
    <t>Ignorar</t>
  </si>
  <si>
    <t>Mitigar</t>
  </si>
  <si>
    <t>Contener</t>
  </si>
  <si>
    <t>Transferir</t>
  </si>
  <si>
    <t>Feature:</t>
  </si>
  <si>
    <t>Descripcion:</t>
  </si>
  <si>
    <t>Scenario:</t>
  </si>
  <si>
    <t xml:space="preserve">Given </t>
  </si>
  <si>
    <t xml:space="preserve">When </t>
  </si>
  <si>
    <t xml:space="preserve">Then </t>
  </si>
  <si>
    <t>ESTADO</t>
  </si>
  <si>
    <t>Proyecto</t>
  </si>
  <si>
    <t>Método Gherkin:</t>
  </si>
  <si>
    <r>
      <rPr>
        <b/>
        <sz val="14"/>
        <color theme="1"/>
        <rFont val="Calibri"/>
        <family val="2"/>
        <scheme val="minor"/>
      </rPr>
      <t>ID:</t>
    </r>
    <r>
      <rPr>
        <sz val="14"/>
        <color theme="1"/>
        <rFont val="Calibri"/>
        <family val="2"/>
        <scheme val="minor"/>
      </rPr>
      <t xml:space="preserve"> BUG1</t>
    </r>
  </si>
  <si>
    <r>
      <rPr>
        <b/>
        <sz val="14"/>
        <color theme="1"/>
        <rFont val="Calibri"/>
        <family val="2"/>
        <scheme val="minor"/>
      </rPr>
      <t>Fecha:</t>
    </r>
    <r>
      <rPr>
        <sz val="14"/>
        <color theme="1"/>
        <rFont val="Calibri"/>
        <family val="2"/>
        <scheme val="minor"/>
      </rPr>
      <t xml:space="preserve"> 28/02/2023</t>
    </r>
  </si>
  <si>
    <r>
      <rPr>
        <b/>
        <sz val="14"/>
        <color theme="1"/>
        <rFont val="Calibri"/>
        <family val="2"/>
        <scheme val="minor"/>
      </rPr>
      <t>Título:</t>
    </r>
    <r>
      <rPr>
        <sz val="14"/>
        <color theme="1"/>
        <rFont val="Calibri"/>
        <family val="2"/>
        <scheme val="minor"/>
      </rPr>
      <t xml:space="preserve"> No se muestra el mensaje de error al enviar el parámetro de página incorrecto</t>
    </r>
  </si>
  <si>
    <r>
      <rPr>
        <b/>
        <sz val="14"/>
        <color theme="1"/>
        <rFont val="Calibri"/>
        <family val="2"/>
        <scheme val="minor"/>
      </rPr>
      <t>Autor:</t>
    </r>
    <r>
      <rPr>
        <sz val="14"/>
        <color theme="1"/>
        <rFont val="Calibri"/>
        <family val="2"/>
        <scheme val="minor"/>
      </rPr>
      <t xml:space="preserve"> Miguel Molina</t>
    </r>
  </si>
  <si>
    <r>
      <rPr>
        <b/>
        <sz val="14"/>
        <color theme="1"/>
        <rFont val="Calibri"/>
        <family val="2"/>
        <scheme val="minor"/>
      </rPr>
      <t>Versión:</t>
    </r>
    <r>
      <rPr>
        <sz val="14"/>
        <color theme="1"/>
        <rFont val="Calibri"/>
        <family val="2"/>
        <scheme val="minor"/>
      </rPr>
      <t xml:space="preserve"> V1.0</t>
    </r>
  </si>
  <si>
    <r>
      <rPr>
        <b/>
        <sz val="14"/>
        <color theme="1"/>
        <rFont val="Calibri"/>
        <family val="2"/>
        <scheme val="minor"/>
      </rPr>
      <t>Ambiente:</t>
    </r>
    <r>
      <rPr>
        <sz val="14"/>
        <color theme="1"/>
        <rFont val="Calibri"/>
        <family val="2"/>
        <scheme val="minor"/>
      </rPr>
      <t xml:space="preserve"> Postman</t>
    </r>
  </si>
  <si>
    <r>
      <rPr>
        <b/>
        <sz val="14"/>
        <color theme="1"/>
        <rFont val="Calibri"/>
        <family val="2"/>
        <scheme val="minor"/>
      </rPr>
      <t>Fase:</t>
    </r>
    <r>
      <rPr>
        <sz val="14"/>
        <color theme="1"/>
        <rFont val="Calibri"/>
        <family val="2"/>
        <scheme val="minor"/>
      </rPr>
      <t xml:space="preserve"> Operación</t>
    </r>
  </si>
  <si>
    <r>
      <rPr>
        <b/>
        <sz val="14"/>
        <color theme="1"/>
        <rFont val="Calibri"/>
        <family val="2"/>
        <scheme val="minor"/>
      </rPr>
      <t>Descripción:</t>
    </r>
    <r>
      <rPr>
        <sz val="14"/>
        <color theme="1"/>
        <rFont val="Calibri"/>
        <family val="2"/>
        <scheme val="minor"/>
      </rPr>
      <t xml:space="preserve">
Para lograr reproducir este bug, es necesario seguir los pasos siguientes:
1. Ingresar a la aplicación Postman.
2. Crear una nueva HTTP Request de tipo GET.
3. Ingresar la URL https://reqres.in/api/users?page=%!"@#;¨^.
4. Enviarla.
5. Visualizar la respuesta inadecuada, es decir el bug.</t>
    </r>
  </si>
  <si>
    <r>
      <rPr>
        <b/>
        <sz val="14"/>
        <color theme="1"/>
        <rFont val="Calibri"/>
        <family val="2"/>
        <scheme val="minor"/>
      </rPr>
      <t xml:space="preserve">Estado: </t>
    </r>
    <r>
      <rPr>
        <sz val="14"/>
        <color theme="1"/>
        <rFont val="Calibri"/>
        <family val="2"/>
        <scheme val="minor"/>
      </rPr>
      <t>Por hacer</t>
    </r>
  </si>
  <si>
    <r>
      <rPr>
        <b/>
        <sz val="14"/>
        <color theme="1"/>
        <rFont val="Calibri"/>
        <family val="2"/>
        <scheme val="minor"/>
      </rPr>
      <t>Prioridad:</t>
    </r>
    <r>
      <rPr>
        <sz val="14"/>
        <color theme="1"/>
        <rFont val="Calibri"/>
        <family val="2"/>
        <scheme val="minor"/>
      </rPr>
      <t xml:space="preserve"> 5</t>
    </r>
  </si>
  <si>
    <r>
      <rPr>
        <b/>
        <sz val="14"/>
        <color theme="1"/>
        <rFont val="Calibri"/>
        <family val="2"/>
        <scheme val="minor"/>
      </rPr>
      <t>Alcance/Impacto:</t>
    </r>
    <r>
      <rPr>
        <sz val="14"/>
        <color theme="1"/>
        <rFont val="Calibri"/>
        <family val="2"/>
        <scheme val="minor"/>
      </rPr>
      <t xml:space="preserve"> 1</t>
    </r>
  </si>
  <si>
    <r>
      <rPr>
        <b/>
        <sz val="14"/>
        <color theme="1"/>
        <rFont val="Calibri"/>
        <family val="2"/>
        <scheme val="minor"/>
      </rPr>
      <t>Resultados esperados:</t>
    </r>
    <r>
      <rPr>
        <sz val="14"/>
        <color theme="1"/>
        <rFont val="Calibri"/>
        <family val="2"/>
        <scheme val="minor"/>
      </rPr>
      <t xml:space="preserve">
Mensaje de error informando que el parámetro page ingresado es invalido.</t>
    </r>
  </si>
  <si>
    <r>
      <rPr>
        <b/>
        <sz val="14"/>
        <color theme="1"/>
        <rFont val="Calibri"/>
        <family val="2"/>
        <scheme val="minor"/>
      </rPr>
      <t>Resultados Obtenidos:</t>
    </r>
    <r>
      <rPr>
        <sz val="14"/>
        <color theme="1"/>
        <rFont val="Calibri"/>
        <family val="2"/>
        <scheme val="minor"/>
      </rPr>
      <t xml:space="preserve">
Contenido JSON del parámetro page=1.</t>
    </r>
  </si>
  <si>
    <r>
      <rPr>
        <b/>
        <sz val="14"/>
        <color theme="1"/>
        <rFont val="Calibri"/>
        <family val="2"/>
      </rPr>
      <t>Historial:</t>
    </r>
    <r>
      <rPr>
        <sz val="14"/>
        <color theme="1"/>
        <rFont val="Calibri"/>
        <family val="2"/>
      </rPr>
      <t xml:space="preserve">
</t>
    </r>
    <r>
      <rPr>
        <sz val="14"/>
        <color theme="1"/>
        <rFont val="Calibri"/>
        <family val="2"/>
        <scheme val="minor"/>
      </rPr>
      <t>Miguel Molina -&gt; (Por hacer)</t>
    </r>
  </si>
  <si>
    <r>
      <rPr>
        <b/>
        <sz val="14"/>
        <color theme="1"/>
        <rFont val="Calibri"/>
        <family val="2"/>
      </rPr>
      <t>Referencias:</t>
    </r>
    <r>
      <rPr>
        <sz val="14"/>
        <color theme="1"/>
        <rFont val="Calibri"/>
        <family val="2"/>
      </rPr>
      <t xml:space="preserve">
</t>
    </r>
    <r>
      <rPr>
        <sz val="14"/>
        <color theme="1"/>
        <rFont val="Calibri"/>
        <family val="2"/>
        <scheme val="minor"/>
      </rPr>
      <t>Este bug se deriva del CP04</t>
    </r>
    <r>
      <rPr>
        <b/>
        <sz val="14"/>
        <color theme="1"/>
        <rFont val="Calibri"/>
        <family val="2"/>
        <scheme val="minor"/>
      </rPr>
      <t>.</t>
    </r>
  </si>
  <si>
    <t>Informe de Defectos Servicios</t>
  </si>
  <si>
    <r>
      <rPr>
        <b/>
        <i/>
        <sz val="10"/>
        <color theme="1"/>
        <rFont val="Calibri"/>
        <family val="2"/>
        <scheme val="minor"/>
      </rPr>
      <t xml:space="preserve">Nota: </t>
    </r>
    <r>
      <rPr>
        <i/>
        <sz val="10"/>
        <color theme="1"/>
        <rFont val="Calibri"/>
        <family val="2"/>
        <scheme val="minor"/>
      </rPr>
      <t>la escala de prioridad va de 1 a 5, donde 1 es prioridad mínima y 5 es máxima. Y la escala de impacto es igual a la presentada en los riesgos (1 despreciable - 5 catastrófico).</t>
    </r>
  </si>
  <si>
    <r>
      <rPr>
        <b/>
        <sz val="14"/>
        <color theme="1"/>
        <rFont val="Calibri"/>
        <family val="2"/>
        <scheme val="minor"/>
      </rPr>
      <t>Resumen:</t>
    </r>
    <r>
      <rPr>
        <sz val="14"/>
        <color theme="1"/>
        <rFont val="Calibri"/>
        <family val="2"/>
        <scheme val="minor"/>
      </rPr>
      <t xml:space="preserve">
Se envía una petición GET con un parámetro de página, por ejemplo page=%!"@#;¨^ y el servicio me retorna el contenido de la página 1 (es decir, como si page=1) en lugar de retornar un error.</t>
    </r>
  </si>
  <si>
    <r>
      <rPr>
        <b/>
        <sz val="14"/>
        <color theme="1"/>
        <rFont val="Calibri"/>
        <family val="2"/>
      </rPr>
      <t>Áreas afectadas:</t>
    </r>
    <r>
      <rPr>
        <sz val="14"/>
        <color theme="1"/>
        <rFont val="Calibri"/>
        <family val="2"/>
        <scheme val="minor"/>
      </rPr>
      <t xml:space="preserve"> interfaz de usuario.</t>
    </r>
  </si>
  <si>
    <t>Release</t>
  </si>
  <si>
    <t>Numero</t>
  </si>
  <si>
    <t>Matriz de Riesgo</t>
  </si>
  <si>
    <t>Evaluación detallada de los requisitos del proyecto y la definición clara y temprana de los límites del alcance del proyecto.</t>
  </si>
  <si>
    <t>Evaluación de los recursos necesarios para el proyecto y el monitoreo constante de la asignación de recursos.</t>
  </si>
  <si>
    <t xml:space="preserve"> Planificación detallada del proyecto, la asignación de plazos realistas y alcanzables, y la realización regular de revisiones de progreso del proyecto para asegurar el cumplimiento de los plazos.</t>
  </si>
  <si>
    <t>Crear un ambiente de trabajo en el que los miembros del equipo se sientan cómodos y seguros para expresar sus ideas y opiniones.</t>
  </si>
  <si>
    <t>Inconsistencia en la calidad del contenido, imágenes y diseño que podrían afectar negativamente la experiencia del usuario de la tienda.</t>
  </si>
  <si>
    <t>Problemas de seguridad que pueden comprometer la privacidad de los usuarios o los datos de la tienda.</t>
  </si>
  <si>
    <t>Fallos en la integración de los sistemas de pago, lo que podría afectar las ventas y la satisfacción del cliente.</t>
  </si>
  <si>
    <t>Problemas con la disponibilidad y rendimiento del servidor, lo que podría causar una mala experiencia de usuario y la pérdida de ventas.</t>
  </si>
  <si>
    <t>Problemas de compatibilidad con diferentes navegadores y dispositivos que podrían reducir el alcance de la audiencia.</t>
  </si>
  <si>
    <t>Falta de capacidad para manejar un alto tráfico de visitas y ventas, lo que podría afectar la rentabilidad de la tienda.</t>
  </si>
  <si>
    <t>Problemas de usabilidad y accesibilidad que podrían impedir que los usuarios interactúen con el sitio web de manera efectiva.</t>
  </si>
  <si>
    <t>Problemas con la funcionalidad de la página web en diferentes idiomas y regiones, lo que podría limitar la capacidad de la tienda para llegar a una audiencia global.</t>
  </si>
  <si>
    <t>Inestabilidad en la implementación de nuevas funcionalidades, lo que podría afectar la operatividad del sitio web.</t>
  </si>
  <si>
    <t>Fallos en la implementación de la estrategia de marketing digital, lo que podría afectar la visibilidad y el posicionamiento de la tienda.</t>
  </si>
  <si>
    <t>Dificultades en la gestión y el mantenimiento del contenido, lo que podría provocar errores y fallos en el sitio web.</t>
  </si>
  <si>
    <t>Problemas de escalabilidad que podrían impedir el crecimiento futuro del sitio web de la tienda.</t>
  </si>
  <si>
    <t>Fallos en la gestión del tráfico y la carga de la página web, lo que podría afectar la velocidad de carga y la experiencia del usuario</t>
  </si>
  <si>
    <t>Falta de planificación adecuada del proyecto, lo que podría llevar a retrasos en la entrega y aumento de los costos.</t>
  </si>
  <si>
    <t>Cambios frecuentes en los requisitos del proyecto, lo que podría afectar negativamente la calidad del producto final y aumentar los costos.</t>
  </si>
  <si>
    <t xml:space="preserve">Problemas de comunicación entre los miembros del equipo, lo que podría llevar a malentendidos y retrasos en el proyecto. </t>
  </si>
  <si>
    <t>Problemas con el presupuesto y la gestión de los recursos financieros, lo que podría limitar la capacidad del equipo para completar el proyecto.</t>
  </si>
  <si>
    <t>Falta de experiencia y habilidades necesarias en el equipo, lo que podría afectar la calidad del trabajo y la eficiencia del proyecto.</t>
  </si>
  <si>
    <t>Problemas con la gestión de la calidad, lo que podría afectar la satisfacción del cliente y la imagen de la empresa</t>
  </si>
  <si>
    <t>Problemas de dependencias, como la falta de cumplimiento de los compromisos por parte de los proveedores o los terceros, lo que podría afectar al ritmo del proyecto.</t>
  </si>
  <si>
    <t>Falta de coordinación entre los diferentes equipos que trabajan en el proyecto puede ocasionar retrasos en la entrega del producto, aumentar los costos, y provocar la insatisfacción del cliente.</t>
  </si>
  <si>
    <t>establecer estándares claros para la calidad de los contenidos, las imágenes y el diseño, y se debe contar con un equipo dedicado para realizar pruebas y revisar el contenido antes de que se publique.</t>
  </si>
  <si>
    <t>Problemas con el soporte técnico  lo que podría afectar la satisfacción del usuario y la reputación de la tienda.</t>
  </si>
  <si>
    <t>implementación de un sistema de gestión de la calidad, la capacitación del personal en técnicas de control de calidad, la realización de auditorías periódicas y la recopilación y análisis de comentarios de los clientes.</t>
  </si>
  <si>
    <t>realización de una evaluación exhaustiva de los proveedores y terceros antes de la contratación, la inclusión de cláusulas específicas en los contratos que establezcan los plazos y las responsabilidades de los proveedores y terceros, y la implementación de un proceso de seguimiento regular para asegurarse de que los proveedores y terceros cumplen con los compromisos establecidos.</t>
  </si>
  <si>
    <t>Creación de un plan de proyecto detallado que establezca plazos y responsabilidades claras para cada equipo, la designación de un líder de proyecto para supervisar el progreso y la comunicación regular y efectiva entre los equipos</t>
  </si>
  <si>
    <t>Implementación de un plan de contingencia para manejar cualquier interrupción o retraso causado por problemas de hardware o equipos, incluyendo el establecimiento de planes de respaldo y el monitoreo constante del rendimiento de los equipos.</t>
  </si>
  <si>
    <t>Implementación de medidas de seguridad apropiadas, como la encriptación de datos, la autenticación de usuarios, el monitoreo de redes y la realización de auditorías de seguridad regulares. También se pueden establecer políticas de seguridad claras y capacitar al personal para manejar la información de manera segura.</t>
  </si>
  <si>
    <t xml:space="preserve"> Implementación de pruebas rigurosas y extensas de los sistemas de pago antes de su lanzamiento y la realización de pruebas periódicas para asegurarse de que sigan funcionando correctamente.</t>
  </si>
  <si>
    <t>Implementación de un plan de contingencia que establezca los pasos a seguir en caso de una interrupción en el servidor y cómo se notificará a los usuarios afectados.</t>
  </si>
  <si>
    <t>realización de pruebas en una variedad de navegadores y dispositivos para identificar y solucionar problemas de compatibilidad antes del lanzamiento de la aplicación.</t>
  </si>
  <si>
    <t>implementación de un plan de contingencia para reducir el impacto de la carga elevada del sitio, como la implementación de una lista de espera para los usuarios, la limitación del acceso a ciertas funcionalidades no esenciales del sitio, o la implementación de un sistema de alerta temprana para detectar problemas de rendimiento.</t>
  </si>
  <si>
    <t>Implementar un diseño y arquitectura de información intuitivos y sencillos de navegar para los usuarios.
Realizar pruebas de usabilidad y accesibilidad con usuarios reales para detectar y solucionar problemas.</t>
  </si>
  <si>
    <t>Los dueños de la tienda deben asegurarse de contar con un equipo de soporte técnico capacitado y con las habilidades necesarias para atender las necesidades de los usuarios.</t>
  </si>
  <si>
    <t xml:space="preserve">establecer un proceso de pruebas y validación de cada nueva funcionalidad antes de ser implementada en producción. </t>
  </si>
  <si>
    <t>Establecer un equipo de control de calidad que supervise y realice pruebas exhaustivas en todo el contenido antes de su publicación.</t>
  </si>
  <si>
    <t>Establecer un plan de crecimiento escalable y una arquitectura flexible que permita agregar recursos y funcionalidades sin afectar el rendimiento del sitio web</t>
  </si>
  <si>
    <t>Una forma de contener este riesgo es limitando la cantidad de aplicaciones de terceros integradas en el sitio web y asegurándose de que solo se utilicen aplicaciones de confianza y bien establecidas.</t>
  </si>
  <si>
    <t>Contratar servicios de hospedaje y servidores que puedan manejar un alto volumen de tráfico y que estén diseñados para asegurar la disponibilidad y la velocidad de carga del sitio web.</t>
  </si>
  <si>
    <t>Contratar servicios de asesoría o consultoría en marketing digital, si se requiere, para obtener apoyo adicional y asegurar la implementación adecuada de la estrategia.</t>
  </si>
  <si>
    <t>Servicio SOAP Conversión de Temperatura.</t>
  </si>
  <si>
    <t>Convertir temperatura de Celsius a farenheit</t>
  </si>
  <si>
    <t>Para realizar calculos en diferentes sistemas de unidades</t>
  </si>
  <si>
    <t>CP-001</t>
  </si>
  <si>
    <t>Quiero hacer conversiones de temperatura de grados celsius a farenheit</t>
  </si>
  <si>
    <t>Yo como usuario del servicio de conversión</t>
  </si>
  <si>
    <t>Pendiente</t>
  </si>
  <si>
    <t>CP-002</t>
  </si>
  <si>
    <t>CP-003</t>
  </si>
  <si>
    <t>CP-004</t>
  </si>
  <si>
    <t>Verificar que al ingresar un valor valido en celsius, la respuesta sea la equivalente en farenheit</t>
  </si>
  <si>
    <t>Verificar el mensaje de error al dejar el campo requerido vacio</t>
  </si>
  <si>
    <t>Verificar el mensaje de error al ingresar un valor alfabetico</t>
  </si>
  <si>
    <t>Verificar el mensaje de error al ingresar un carácter especial</t>
  </si>
  <si>
    <t>debera recibir una respuesta equivalente en grados farenheit</t>
  </si>
  <si>
    <t>CP-005</t>
  </si>
  <si>
    <t>@ValoresAlfabeticosC</t>
  </si>
  <si>
    <t>@ValoresVaciosC</t>
  </si>
  <si>
    <t>@CarecteresEspecialesC</t>
  </si>
  <si>
    <t>@ValorValidoC</t>
  </si>
  <si>
    <t>@ValorDecimalC</t>
  </si>
  <si>
    <t>Verificar que al ingresar un valor valido decimal en celsius, la respuesta sea la equivalente en farenheit</t>
  </si>
  <si>
    <t>Convertir temperatura de farenheit a celsius</t>
  </si>
  <si>
    <t>Quiero hacer conversiones de temperatura de grados farenheit a celsius</t>
  </si>
  <si>
    <t>Verificar que al ingresar un valor valido en farenheit, la respuesta sea la equivalente en celsius</t>
  </si>
  <si>
    <t>debera recibir una respuesta equivalente en grados celsius</t>
  </si>
  <si>
    <t>Verificar que al ingresar un valor valido decimal en farenheit, la respuesta sea la equivalente en celsius</t>
  </si>
  <si>
    <t>@ValoresAlfabeticosF</t>
  </si>
  <si>
    <t>CP-006</t>
  </si>
  <si>
    <t>@ValoresVaciosF</t>
  </si>
  <si>
    <t>CP-007</t>
  </si>
  <si>
    <t>@CarecteresEspecialesF</t>
  </si>
  <si>
    <t>CP-008</t>
  </si>
  <si>
    <t>@ValorValidoF</t>
  </si>
  <si>
    <t>CP-009</t>
  </si>
  <si>
    <t>@ValorDecimalF</t>
  </si>
  <si>
    <t>CP-010</t>
  </si>
  <si>
    <t>Servicio SOAP Calculadora de enteros.</t>
  </si>
  <si>
    <t>CP-011</t>
  </si>
  <si>
    <t>Realizar suma de enteros</t>
  </si>
  <si>
    <t>Yo como usuario del servicio de la calculadora de enteros</t>
  </si>
  <si>
    <t>Quiero poder realizar una operación de suma de enteros</t>
  </si>
  <si>
    <t>Verificar la respuesta correcta al ingresar dos numeros enteros positivos</t>
  </si>
  <si>
    <t xml:space="preserve">envia una solicitud con un dato de tipo alfabetico </t>
  </si>
  <si>
    <t>que el usuario tiene acceso al servicio para hacer una conversión de celsius a farenheit</t>
  </si>
  <si>
    <t>que el usuario tiene acceso al servicio para hacer una conversión de farenheit a celsius</t>
  </si>
  <si>
    <t>envia una solicitud con el dato requerido vacio</t>
  </si>
  <si>
    <t>envia una solicitud con un carácter especial</t>
  </si>
  <si>
    <t>envia una solicitud con un valor valido en grados celsius</t>
  </si>
  <si>
    <t>envia una solicitud con un valor valido decimal en grados celsius</t>
  </si>
  <si>
    <t>envia una solicitud con un valor valido en grados farenheit</t>
  </si>
  <si>
    <t>envia una solicitud con un valor valido decimal en grados farenheit</t>
  </si>
  <si>
    <t>que el usuario tiene acceso al servicio para realizar una suma de enteros</t>
  </si>
  <si>
    <t>envia una solicitud con dos datos enteros positivos</t>
  </si>
  <si>
    <t>debera recibir una respuesta con el resultado de suma correspondiente</t>
  </si>
  <si>
    <t>CP-012</t>
  </si>
  <si>
    <t>@SumaPositivos</t>
  </si>
  <si>
    <t>@SumaNegativos</t>
  </si>
  <si>
    <t>Verificar la respuesta correcta al ingresar dos numeros enteros negativos</t>
  </si>
  <si>
    <t>@SumaNegativoYPositivo</t>
  </si>
  <si>
    <t>CP-013</t>
  </si>
  <si>
    <t>Verificar la respuesta correcta al ingresar un numeros negativo y uno positivo</t>
  </si>
  <si>
    <t>envia una solicitud con un numero entero negativo y un numero entero positivo</t>
  </si>
  <si>
    <t>@RestaPositivos</t>
  </si>
  <si>
    <t>Realizar resta de enteros</t>
  </si>
  <si>
    <t>que el usuario tiene acceso al servicio para realizar una resta de enteros</t>
  </si>
  <si>
    <t>debera recibir una respuesta con el resultado de la resta correspondiente</t>
  </si>
  <si>
    <t>CP-014</t>
  </si>
  <si>
    <t>CP-015</t>
  </si>
  <si>
    <t>CP-016</t>
  </si>
  <si>
    <t>envia una solicitud con dos datos enteros negativos</t>
  </si>
  <si>
    <t>debera recibir una respuesta con el resultado de resta correspondiente</t>
  </si>
  <si>
    <t>@RestaNegativos</t>
  </si>
  <si>
    <t>@RestaNegativoYPositivo</t>
  </si>
  <si>
    <t>Realizar multiplicación de enteros</t>
  </si>
  <si>
    <t>Quiero poder realizar una operación de multiplicación de enteros</t>
  </si>
  <si>
    <t>Para realizar calculos numericos</t>
  </si>
  <si>
    <t>Quiero poder realizar una operación de resta de enteros</t>
  </si>
  <si>
    <t>@MultiplicaciónEnteros</t>
  </si>
  <si>
    <t>CP-017</t>
  </si>
  <si>
    <t>que el usuario tiene acceso al servicio para realizar una multiplicación de enteros</t>
  </si>
  <si>
    <t xml:space="preserve">envia una solicitud con dos datos enteros </t>
  </si>
  <si>
    <t>debera recibir una respuesta con el resultado de la multiplicación correspondiente</t>
  </si>
  <si>
    <t>@MultiplicaciónNoNumericos</t>
  </si>
  <si>
    <t>envia una solicitud con dos datos no numericos</t>
  </si>
  <si>
    <t>CP-018</t>
  </si>
  <si>
    <t xml:space="preserve">debera recibir un respuesta una respuesta Status 500 y un mensaje de error </t>
  </si>
  <si>
    <t>debera recibir una respuesta Status 500 y un mensaje de error</t>
  </si>
  <si>
    <t>CP-019</t>
  </si>
  <si>
    <t>@MultiplicaciónPorCero</t>
  </si>
  <si>
    <t>Verificar la respuesta al realizar una multiplicación por cero</t>
  </si>
  <si>
    <t>Verificar el mensaje de error al ingresar valores no numericos</t>
  </si>
  <si>
    <t>envia una solicitud con un dato entero y un dato de cero</t>
  </si>
  <si>
    <t>CP-020</t>
  </si>
  <si>
    <t>Quiero poder realizar una operación de división de enteros</t>
  </si>
  <si>
    <t>@DivisiónEnteros</t>
  </si>
  <si>
    <t>Verificar la respuesta correcta al ingresar dos numeros enteros</t>
  </si>
  <si>
    <t>Realizar división de enteros</t>
  </si>
  <si>
    <t>que el usuario tiene acceso al servicio para realizar una división de enteros</t>
  </si>
  <si>
    <t>debera recibir una respuesta con el resultado de la división correspondiente</t>
  </si>
  <si>
    <t>@DivisiónEntreCero</t>
  </si>
  <si>
    <t>CP-021</t>
  </si>
  <si>
    <t>Verificar la respuesta correcta al realizar una división entre cero</t>
  </si>
  <si>
    <t>envia una solicitud con el dato del divisor como cero</t>
  </si>
  <si>
    <t>Estado</t>
  </si>
  <si>
    <t xml:space="preserve">Abierto </t>
  </si>
  <si>
    <t>Identificar quiénes son los miembros críticos del equipo y desarrollar un plan de contingencia en caso de que alguno de ellos no esté disponible. Esto podría incluir la asignación de responsabilidades a otros miembros del equipo o la contratación de un recurso temporal.</t>
  </si>
  <si>
    <t>Si es posible, contratar personal adicional para ayudar en el proyecto. Esto podría incluir la contratación de personal de tiempo completo o contratistas a corto plazo.</t>
  </si>
  <si>
    <t>Problemas personales de los integrantes del proyecto lo que puede afectar en la productividad y en los tiempos de entrega</t>
  </si>
  <si>
    <t>Proporcionar cierta flexibilidad a los miembros del equipo puede ayudarles a equilibrar sus compromisos personales y profesionales. Esto puede incluir ofrecer horarios de trabajo flexibles o permitir el trabajo remoto en caso de necesidad.</t>
  </si>
  <si>
    <t xml:space="preserve">Problemas con la integración de aplicaciones de terceros, como pse, nequi, sistecredito etc. Lo que podría afectar en las ventas de la tienda </t>
  </si>
  <si>
    <t>Requisitos mal definidos o confusos lo que podría ocasionar perdidas de esfuerzo y recursos y problemas en el alcance del proyecto</t>
  </si>
  <si>
    <t xml:space="preserve">Reuniones de revisión periódicas para asegurarse que el proyecto esta en línea con lo establecido en las requisitos </t>
  </si>
  <si>
    <t xml:space="preserve">Informar a los directores de proyecto para que evalúen las necesidades de contratación de personal con experiencia o la asignación de recursos para la capacitación. </t>
  </si>
  <si>
    <t xml:space="preserve">Problemas con hardware y equipos lo que podría ocasionar interrupciones en el desarrollo del proyecto, retrasos en las entregas y disminuir la calidad del producto.  </t>
  </si>
  <si>
    <t>Enfermedad o accidente que requiera incapacidad de alguno de los integrantes del proyecto lo que podría afectar el ritmo del proyecto</t>
  </si>
  <si>
    <t xml:space="preserve">Falta de herramientas necesarios como licencias de software de desarrollo o de pruebas lo que podría ocasionar demora en la ejecución de actividades </t>
  </si>
  <si>
    <t>Asegurarse de que todas las herramientas necesarias estén disponibles antes de comenzar las actividades. Planifique la adquisición o renovación de herramientas con anticipación para evitar retrasos.</t>
  </si>
  <si>
    <t xml:space="preserve">La falta de personal suficiente para el proyecto podría afectar que los tiempos de entrega pactados se vean afectos </t>
  </si>
  <si>
    <t>Falta de prevención de los costos indirectos del proyecto lo que podría ocasionar problemas financieros y afectar la ejecución de las tareas.</t>
  </si>
  <si>
    <t>Se podría ignorar este riesgo ya que la probabilidad de ocurrencia es muy baja y la tienda esta enfocada en ventas en Colombia</t>
  </si>
  <si>
    <t>Monitorear y controlar los costos indirectos del proyecto regularmente para asegurarse de que se mantengan dentro del presupuesto previsto y así Identificar cualquier desviación y tomar medidas para corregir de inmediato.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</si>
</sst>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Calibri"/>
      <family val="2"/>
      <scheme val="minor"/>
    </font>
    <font>
      <sz val="14"/>
      <color theme="1"/>
      <name val="Calibri"/>
      <family val="2"/>
    </font>
    <font>
      <sz val="14"/>
      <color theme="1"/>
      <name val="Calibri"/>
      <family val="2"/>
      <scheme val="minor"/>
    </font>
    <font>
      <b/>
      <sz val="14"/>
      <color theme="1"/>
      <name val="Calibri"/>
      <family val="2"/>
    </font>
    <font>
      <b/>
      <sz val="14"/>
      <color theme="1"/>
      <name val="Calibri"/>
      <family val="2"/>
      <scheme val="minor"/>
    </font>
    <font>
      <b/>
      <sz val="11"/>
      <color theme="0"/>
      <name val="Calibri"/>
      <family val="2"/>
      <scheme val="minor"/>
    </font>
    <font>
      <b/>
      <sz val="11"/>
      <color theme="1"/>
      <name val="Calibri"/>
      <family val="2"/>
      <scheme val="minor"/>
    </font>
    <font>
      <b/>
      <sz val="11"/>
      <color rgb="FF7030A0"/>
      <name val="Calibri"/>
      <family val="2"/>
      <scheme val="minor"/>
    </font>
    <font>
      <b/>
      <sz val="11"/>
      <color rgb="FF00B050"/>
      <name val="Calibri"/>
      <family val="2"/>
      <scheme val="minor"/>
    </font>
    <font>
      <b/>
      <sz val="11"/>
      <name val="Calibri"/>
      <family val="2"/>
      <scheme val="minor"/>
    </font>
    <font>
      <i/>
      <sz val="10"/>
      <color theme="1"/>
      <name val="Calibri"/>
      <family val="2"/>
      <scheme val="minor"/>
    </font>
    <font>
      <b/>
      <i/>
      <sz val="10"/>
      <color theme="1"/>
      <name val="Calibri"/>
      <family val="2"/>
      <scheme val="minor"/>
    </font>
  </fonts>
  <fills count="12">
    <fill>
      <patternFill patternType="none"/>
    </fill>
    <fill>
      <patternFill patternType="gray125"/>
    </fill>
    <fill>
      <patternFill patternType="solid">
        <fgColor rgb="FFA5A5A5"/>
        <bgColor rgb="FFA5A5A5"/>
      </patternFill>
    </fill>
    <fill>
      <patternFill patternType="solid">
        <fgColor rgb="FFFF7E06"/>
        <bgColor indexed="64"/>
      </patternFill>
    </fill>
    <fill>
      <patternFill patternType="solid">
        <fgColor rgb="FFD8D8D8"/>
        <bgColor rgb="FFD8D8D8"/>
      </patternFill>
    </fill>
    <fill>
      <patternFill patternType="solid">
        <fgColor rgb="FFDEEAF6"/>
        <bgColor rgb="FFDEEAF6"/>
      </patternFill>
    </fill>
    <fill>
      <patternFill patternType="solid">
        <fgColor theme="4"/>
        <bgColor indexed="64"/>
      </patternFill>
    </fill>
    <fill>
      <patternFill patternType="solid">
        <fgColor theme="0" tint="-0.14999847407452621"/>
        <bgColor rgb="FFD8D8D8"/>
      </patternFill>
    </fill>
    <fill>
      <patternFill patternType="solid">
        <fgColor theme="4" tint="0.59999389629810485"/>
        <bgColor rgb="FFDEEAF6"/>
      </patternFill>
    </fill>
    <fill>
      <patternFill patternType="solid">
        <fgColor theme="4" tint="0.59999389629810485"/>
        <bgColor rgb="FFD8D8D8"/>
      </patternFill>
    </fill>
    <fill>
      <patternFill patternType="solid">
        <fgColor theme="4" tint="-0.249977111117893"/>
        <bgColor indexed="64"/>
      </patternFill>
    </fill>
    <fill>
      <patternFill patternType="solid">
        <fgColor rgb="FFFFC000"/>
        <bgColor indexed="64"/>
      </patternFill>
    </fill>
  </fills>
  <borders count="37">
    <border>
      <left/>
      <right/>
      <top/>
      <bottom/>
      <diagonal/>
    </border>
    <border>
      <left/>
      <right/>
      <top/>
      <bottom style="thin">
        <color indexed="64"/>
      </bottom>
      <diagonal/>
    </border>
    <border>
      <left style="thin">
        <color rgb="FFFF7E06"/>
      </left>
      <right style="thin">
        <color rgb="FFFF7E06"/>
      </right>
      <top style="thin">
        <color rgb="FFFF7E06"/>
      </top>
      <bottom style="thin">
        <color rgb="FFFF7E06"/>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FF7E06"/>
      </left>
      <right/>
      <top style="thin">
        <color rgb="FFFF7E06"/>
      </top>
      <bottom/>
      <diagonal/>
    </border>
    <border>
      <left/>
      <right style="thin">
        <color rgb="FFFF7E06"/>
      </right>
      <top style="thin">
        <color rgb="FFFF7E06"/>
      </top>
      <bottom/>
      <diagonal/>
    </border>
    <border>
      <left style="thin">
        <color rgb="FFFF7E06"/>
      </left>
      <right/>
      <top/>
      <bottom/>
      <diagonal/>
    </border>
    <border>
      <left/>
      <right style="thin">
        <color rgb="FFFF7E06"/>
      </right>
      <top/>
      <bottom/>
      <diagonal/>
    </border>
    <border>
      <left style="thin">
        <color rgb="FFFF7E06"/>
      </left>
      <right/>
      <top/>
      <bottom style="thin">
        <color rgb="FFFF7E06"/>
      </bottom>
      <diagonal/>
    </border>
    <border>
      <left/>
      <right style="thin">
        <color rgb="FFFF7E06"/>
      </right>
      <top/>
      <bottom style="thin">
        <color rgb="FFFF7E06"/>
      </bottom>
      <diagonal/>
    </border>
    <border>
      <left style="thin">
        <color rgb="FFFF7E06"/>
      </left>
      <right/>
      <top style="thin">
        <color rgb="FFFF7E06"/>
      </top>
      <bottom style="thin">
        <color rgb="FFFF7E06"/>
      </bottom>
      <diagonal/>
    </border>
    <border>
      <left/>
      <right style="thin">
        <color rgb="FFFF7E06"/>
      </right>
      <top style="thin">
        <color rgb="FFFF7E06"/>
      </top>
      <bottom style="thin">
        <color rgb="FFFF7E06"/>
      </bottom>
      <diagonal/>
    </border>
    <border>
      <left/>
      <right/>
      <top style="thin">
        <color rgb="FFFF7E06"/>
      </top>
      <bottom style="thin">
        <color rgb="FFFF7E06"/>
      </bottom>
      <diagonal/>
    </border>
    <border>
      <left style="thin">
        <color indexed="64"/>
      </left>
      <right style="thin">
        <color rgb="FFFF7E06"/>
      </right>
      <top/>
      <bottom style="thin">
        <color indexed="64"/>
      </bottom>
      <diagonal/>
    </border>
    <border>
      <left style="thin">
        <color indexed="64"/>
      </left>
      <right/>
      <top/>
      <bottom style="thin">
        <color indexed="64"/>
      </bottom>
      <diagonal/>
    </border>
    <border>
      <left/>
      <right style="thin">
        <color rgb="FFFF7E06"/>
      </right>
      <top/>
      <bottom style="thin">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62">
    <xf numFmtId="0" fontId="0" fillId="0" borderId="0" xfId="0"/>
    <xf numFmtId="0" fontId="1" fillId="4" borderId="2" xfId="0" applyFont="1" applyFill="1" applyBorder="1" applyAlignment="1">
      <alignment horizontal="center" vertical="center" wrapText="1"/>
    </xf>
    <xf numFmtId="0" fontId="2" fillId="4" borderId="2" xfId="0" applyFont="1" applyFill="1" applyBorder="1" applyAlignment="1">
      <alignment horizontal="center" vertical="center" wrapText="1"/>
    </xf>
    <xf numFmtId="0" fontId="1" fillId="5" borderId="2" xfId="0" applyFont="1" applyFill="1" applyBorder="1" applyAlignment="1">
      <alignment horizontal="center" vertical="center" wrapText="1"/>
    </xf>
    <xf numFmtId="0" fontId="2" fillId="0" borderId="0" xfId="0" applyFont="1" applyAlignment="1">
      <alignment horizontal="center" vertical="center"/>
    </xf>
    <xf numFmtId="0" fontId="3" fillId="2" borderId="3" xfId="0" applyFont="1" applyFill="1" applyBorder="1" applyAlignment="1">
      <alignment horizontal="center" vertical="center" wrapText="1"/>
    </xf>
    <xf numFmtId="0" fontId="0" fillId="0" borderId="0" xfId="0" applyAlignment="1">
      <alignment horizontal="center" vertical="center"/>
    </xf>
    <xf numFmtId="0" fontId="7" fillId="0" borderId="4" xfId="0" applyFont="1" applyBorder="1" applyAlignment="1">
      <alignment horizontal="right" vertical="center"/>
    </xf>
    <xf numFmtId="0" fontId="7" fillId="0" borderId="5" xfId="0" applyFont="1" applyBorder="1" applyAlignment="1">
      <alignment horizontal="right" vertical="center"/>
    </xf>
    <xf numFmtId="0" fontId="0" fillId="0" borderId="5" xfId="0" applyBorder="1" applyAlignment="1">
      <alignment horizontal="center" vertical="center"/>
    </xf>
    <xf numFmtId="0" fontId="0" fillId="0" borderId="10" xfId="0" applyBorder="1" applyAlignment="1">
      <alignment horizontal="left" vertical="center"/>
    </xf>
    <xf numFmtId="0" fontId="0" fillId="0" borderId="10" xfId="0" applyBorder="1" applyAlignment="1">
      <alignment horizontal="center" vertical="center"/>
    </xf>
    <xf numFmtId="0" fontId="9" fillId="0" borderId="5" xfId="0" applyFont="1" applyBorder="1" applyAlignment="1">
      <alignment horizontal="right" vertical="center"/>
    </xf>
    <xf numFmtId="0" fontId="10" fillId="0" borderId="0" xfId="0" applyFont="1" applyAlignment="1">
      <alignment horizontal="center" vertical="center" wrapText="1"/>
    </xf>
    <xf numFmtId="0" fontId="3" fillId="2" borderId="2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2" fillId="7" borderId="3" xfId="0" applyFont="1" applyFill="1" applyBorder="1" applyAlignment="1">
      <alignment horizontal="center" vertical="center" wrapText="1"/>
    </xf>
    <xf numFmtId="0" fontId="1" fillId="8" borderId="3" xfId="0" applyFont="1" applyFill="1" applyBorder="1" applyAlignment="1">
      <alignment horizontal="center" vertical="center" wrapText="1"/>
    </xf>
    <xf numFmtId="0" fontId="1" fillId="9" borderId="3" xfId="0" applyFont="1" applyFill="1" applyBorder="1" applyAlignment="1">
      <alignment horizontal="center" vertical="center" wrapText="1"/>
    </xf>
    <xf numFmtId="0" fontId="2" fillId="8" borderId="3" xfId="0" applyFont="1" applyFill="1" applyBorder="1" applyAlignment="1">
      <alignment horizontal="center" vertical="center" wrapText="1"/>
    </xf>
    <xf numFmtId="0" fontId="2" fillId="0" borderId="27" xfId="0" applyFont="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0" borderId="32" xfId="0" applyFont="1" applyBorder="1" applyAlignment="1">
      <alignment horizontal="center" vertical="center"/>
    </xf>
    <xf numFmtId="0" fontId="2" fillId="0" borderId="3" xfId="0" applyFont="1" applyBorder="1" applyAlignment="1">
      <alignment horizontal="center" vertical="center"/>
    </xf>
    <xf numFmtId="0" fontId="2" fillId="0" borderId="33" xfId="0" applyFont="1" applyBorder="1" applyAlignment="1">
      <alignment horizontal="center" vertical="center"/>
    </xf>
    <xf numFmtId="0" fontId="2" fillId="0" borderId="34" xfId="0" applyFont="1" applyBorder="1" applyAlignment="1">
      <alignment horizontal="center" vertical="center"/>
    </xf>
    <xf numFmtId="0" fontId="2" fillId="0" borderId="35" xfId="0" applyFont="1" applyBorder="1" applyAlignment="1">
      <alignment horizontal="center" vertical="center"/>
    </xf>
    <xf numFmtId="0" fontId="2" fillId="0" borderId="36" xfId="0" applyFont="1" applyBorder="1" applyAlignment="1">
      <alignment horizontal="center" vertical="center"/>
    </xf>
    <xf numFmtId="0" fontId="0" fillId="0" borderId="12" xfId="0" applyBorder="1" applyAlignment="1">
      <alignment horizontal="center" vertical="center"/>
    </xf>
    <xf numFmtId="49" fontId="8" fillId="0" borderId="7" xfId="0" applyNumberFormat="1" applyFont="1" applyBorder="1" applyAlignment="1">
      <alignment horizontal="right" vertical="center"/>
    </xf>
    <xf numFmtId="0" fontId="9" fillId="11" borderId="10" xfId="0" applyFont="1" applyFill="1" applyBorder="1" applyAlignment="1">
      <alignment horizontal="center" vertical="center"/>
    </xf>
    <xf numFmtId="0" fontId="5" fillId="10" borderId="8" xfId="0" applyFont="1" applyFill="1" applyBorder="1" applyAlignment="1">
      <alignment horizontal="center" vertical="center"/>
    </xf>
    <xf numFmtId="0" fontId="5" fillId="10" borderId="9" xfId="0" applyFont="1" applyFill="1" applyBorder="1" applyAlignment="1">
      <alignment horizontal="center" vertical="center"/>
    </xf>
    <xf numFmtId="0" fontId="0" fillId="0" borderId="6" xfId="0" applyBorder="1"/>
    <xf numFmtId="0" fontId="0" fillId="0" borderId="11" xfId="0" applyBorder="1"/>
    <xf numFmtId="0" fontId="6" fillId="0" borderId="9" xfId="0" applyFont="1" applyBorder="1" applyAlignment="1">
      <alignment horizontal="left" vertical="center"/>
    </xf>
    <xf numFmtId="0" fontId="6" fillId="0" borderId="10" xfId="0" applyFont="1" applyBorder="1" applyAlignment="1">
      <alignment horizontal="left" vertical="center"/>
    </xf>
    <xf numFmtId="0" fontId="4" fillId="6" borderId="1" xfId="0" applyFont="1" applyFill="1" applyBorder="1" applyAlignment="1">
      <alignment horizontal="center" vertical="center"/>
    </xf>
    <xf numFmtId="0" fontId="0" fillId="0" borderId="6" xfId="0" applyBorder="1" applyAlignment="1">
      <alignment horizontal="center" vertical="center"/>
    </xf>
    <xf numFmtId="0" fontId="0" fillId="0" borderId="11" xfId="0" applyBorder="1" applyAlignment="1">
      <alignment horizontal="center" vertical="center"/>
    </xf>
    <xf numFmtId="0" fontId="1" fillId="4" borderId="19" xfId="0" applyFont="1" applyFill="1" applyBorder="1" applyAlignment="1">
      <alignment horizontal="center" vertical="center" wrapText="1"/>
    </xf>
    <xf numFmtId="0" fontId="1" fillId="4" borderId="21" xfId="0" applyFont="1" applyFill="1" applyBorder="1" applyAlignment="1">
      <alignment horizontal="center" vertical="center" wrapText="1"/>
    </xf>
    <xf numFmtId="0" fontId="1" fillId="4" borderId="20" xfId="0" applyFont="1" applyFill="1" applyBorder="1" applyAlignment="1">
      <alignment horizontal="center" vertical="center" wrapText="1"/>
    </xf>
    <xf numFmtId="0" fontId="2" fillId="3" borderId="25" xfId="0" applyFont="1" applyFill="1" applyBorder="1" applyAlignment="1">
      <alignment horizontal="center" vertical="center"/>
    </xf>
    <xf numFmtId="0" fontId="2" fillId="3" borderId="12" xfId="0" applyFont="1" applyFill="1" applyBorder="1" applyAlignment="1">
      <alignment horizontal="center" vertical="center"/>
    </xf>
    <xf numFmtId="0" fontId="4" fillId="3" borderId="7" xfId="0" applyFont="1" applyFill="1" applyBorder="1" applyAlignment="1">
      <alignment horizontal="center" vertical="center"/>
    </xf>
    <xf numFmtId="0" fontId="3" fillId="2" borderId="24" xfId="0" applyFont="1" applyFill="1" applyBorder="1" applyAlignment="1">
      <alignment horizontal="center" vertical="center" wrapText="1"/>
    </xf>
    <xf numFmtId="0" fontId="1" fillId="4" borderId="14" xfId="0" applyFont="1" applyFill="1" applyBorder="1" applyAlignment="1">
      <alignment horizontal="center" vertical="center" wrapText="1"/>
    </xf>
    <xf numFmtId="0" fontId="1" fillId="4" borderId="15" xfId="0" applyFont="1" applyFill="1" applyBorder="1" applyAlignment="1">
      <alignment horizontal="center" vertical="center" wrapText="1"/>
    </xf>
    <xf numFmtId="0" fontId="1" fillId="4" borderId="16" xfId="0" applyFont="1" applyFill="1" applyBorder="1" applyAlignment="1">
      <alignment horizontal="center" vertical="center" wrapText="1"/>
    </xf>
    <xf numFmtId="0" fontId="1" fillId="4" borderId="17" xfId="0" applyFont="1" applyFill="1" applyBorder="1" applyAlignment="1">
      <alignment horizontal="center" vertical="center" wrapText="1"/>
    </xf>
    <xf numFmtId="0" fontId="1" fillId="4" borderId="18" xfId="0" applyFont="1" applyFill="1" applyBorder="1" applyAlignment="1">
      <alignment horizontal="center" vertical="center" wrapText="1"/>
    </xf>
    <xf numFmtId="0" fontId="1" fillId="5" borderId="20"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1" fillId="4" borderId="13" xfId="0" applyFont="1" applyFill="1" applyBorder="1" applyAlignment="1">
      <alignment horizontal="center" vertical="center" wrapText="1"/>
    </xf>
    <xf numFmtId="0" fontId="1" fillId="5" borderId="19" xfId="0" applyFont="1" applyFill="1" applyBorder="1" applyAlignment="1">
      <alignment horizontal="center" vertical="center" wrapText="1"/>
    </xf>
    <xf numFmtId="0" fontId="1" fillId="5" borderId="21" xfId="0" applyFont="1" applyFill="1" applyBorder="1" applyAlignment="1">
      <alignment horizontal="center" vertical="center" wrapText="1"/>
    </xf>
    <xf numFmtId="0" fontId="1" fillId="4" borderId="0" xfId="0" applyFont="1" applyFill="1" applyAlignment="1">
      <alignment horizontal="center" vertical="center" wrapText="1"/>
    </xf>
  </cellXfs>
  <cellStyles count="1">
    <cellStyle name="Normal" xfId="0" builtinId="0"/>
  </cellStyles>
  <dxfs count="33">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EEAF6"/>
          <bgColor rgb="FFDEEAF6"/>
        </patternFill>
      </fill>
    </dxf>
    <dxf>
      <fill>
        <patternFill patternType="solid">
          <fgColor theme="4"/>
          <bgColor theme="4"/>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
      <fill>
        <patternFill patternType="solid">
          <fgColor rgb="FFDEEAF6"/>
          <bgColor rgb="FFDEEAF6"/>
        </patternFill>
      </fill>
    </dxf>
    <dxf>
      <fill>
        <patternFill patternType="solid">
          <fgColor rgb="FFD8D8D8"/>
          <bgColor rgb="FFD8D8D8"/>
        </patternFill>
      </fill>
    </dxf>
    <dxf>
      <fill>
        <patternFill patternType="solid">
          <fgColor theme="7"/>
          <bgColor theme="7"/>
        </patternFill>
      </fill>
    </dxf>
  </dxfs>
  <tableStyles count="11" defaultTableStyle="TableStyleMedium2" defaultPivotStyle="PivotStyleLight16">
    <tableStyle name="Matriz de Riesgo -style" pivot="0" count="3" xr9:uid="{73AFE189-A624-42E6-BF85-AF9A7630F921}">
      <tableStyleElement type="headerRow" dxfId="32"/>
      <tableStyleElement type="firstRowStripe" dxfId="31"/>
      <tableStyleElement type="secondRowStripe" dxfId="30"/>
    </tableStyle>
    <tableStyle name="Ejemplo Matriz de Riesgo-style" pivot="0" count="3" xr9:uid="{A9772290-327C-4D7D-9B2B-3B4A67769A7A}">
      <tableStyleElement type="headerRow" dxfId="29"/>
      <tableStyleElement type="firstRowStripe" dxfId="28"/>
      <tableStyleElement type="secondRowStripe" dxfId="27"/>
    </tableStyle>
    <tableStyle name="Instructivo-style" pivot="0" count="3" xr9:uid="{A93B01DA-F6EF-459D-B349-FB77BB8EF565}">
      <tableStyleElement type="headerRow" dxfId="26"/>
      <tableStyleElement type="firstRowStripe" dxfId="25"/>
      <tableStyleElement type="secondRowStripe" dxfId="24"/>
    </tableStyle>
    <tableStyle name="Tabla-style" pivot="0" count="3" xr9:uid="{CE9E74AC-3896-4ADE-8069-E8E8DA6CFB91}">
      <tableStyleElement type="headerRow" dxfId="23"/>
      <tableStyleElement type="firstRowStripe" dxfId="22"/>
      <tableStyleElement type="secondRowStripe" dxfId="21"/>
    </tableStyle>
    <tableStyle name="Tabla-style 2" pivot="0" count="3" xr9:uid="{4090D348-479C-42C5-BCD2-EC59C9521FC1}">
      <tableStyleElement type="headerRow" dxfId="20"/>
      <tableStyleElement type="firstRowStripe" dxfId="19"/>
      <tableStyleElement type="secondRowStripe" dxfId="18"/>
    </tableStyle>
    <tableStyle name="Tabla-style 3" pivot="0" count="3" xr9:uid="{F9B6A5B2-E2AD-4303-89B3-35716CF2FC0B}">
      <tableStyleElement type="headerRow" dxfId="17"/>
      <tableStyleElement type="firstRowStripe" dxfId="16"/>
      <tableStyleElement type="secondRowStripe" dxfId="15"/>
    </tableStyle>
    <tableStyle name="Tabla-style 4" pivot="0" count="3" xr9:uid="{AD2C3D4C-09E7-4D01-A6C1-C36272854708}">
      <tableStyleElement type="headerRow" dxfId="14"/>
      <tableStyleElement type="firstRowStripe" dxfId="13"/>
      <tableStyleElement type="secondRowStripe" dxfId="12"/>
    </tableStyle>
    <tableStyle name="Tabla-style 5" pivot="0" count="3" xr9:uid="{12C8995B-C740-4FA5-9F09-D2435A817E92}">
      <tableStyleElement type="headerRow" dxfId="11"/>
      <tableStyleElement type="firstRowStripe" dxfId="10"/>
      <tableStyleElement type="secondRowStripe" dxfId="9"/>
    </tableStyle>
    <tableStyle name="Tabla-style 6" pivot="0" count="3" xr9:uid="{4C4B78B2-16E4-4C6D-8824-10B6451DBE41}">
      <tableStyleElement type="headerRow" dxfId="8"/>
      <tableStyleElement type="firstRowStripe" dxfId="7"/>
      <tableStyleElement type="secondRowStripe" dxfId="6"/>
    </tableStyle>
    <tableStyle name="Tabla-style 7" pivot="0" count="3" xr9:uid="{84F720CE-7D6F-4F68-97B4-1704C9882CC6}">
      <tableStyleElement type="headerRow" dxfId="5"/>
      <tableStyleElement type="firstRowStripe" dxfId="4"/>
      <tableStyleElement type="secondRowStripe" dxfId="3"/>
    </tableStyle>
    <tableStyle name="Tabla-style 8" pivot="0" count="3" xr9:uid="{20CC6CBF-D7AC-46FB-91D2-FB3B54892700}">
      <tableStyleElement type="headerRow" dxfId="2"/>
      <tableStyleElement type="firstRowStripe" dxfId="1"/>
      <tableStyleElement type="secondRowStripe" dxfId="0"/>
    </tableStyle>
  </tableStyles>
  <colors>
    <mruColors>
      <color rgb="FFFF7E06"/>
      <color rgb="FFA5A5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12</xdr:col>
      <xdr:colOff>79786</xdr:colOff>
      <xdr:row>2</xdr:row>
      <xdr:rowOff>193254</xdr:rowOff>
    </xdr:from>
    <xdr:to>
      <xdr:col>20</xdr:col>
      <xdr:colOff>201453</xdr:colOff>
      <xdr:row>5</xdr:row>
      <xdr:rowOff>869977</xdr:rowOff>
    </xdr:to>
    <xdr:pic>
      <xdr:nvPicPr>
        <xdr:cNvPr id="5" name="Imagen 4">
          <a:extLst>
            <a:ext uri="{FF2B5EF4-FFF2-40B4-BE49-F238E27FC236}">
              <a16:creationId xmlns:a16="http://schemas.microsoft.com/office/drawing/2014/main" id="{BC7C676B-8EDF-93DC-111B-DF1C5E291E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320036" y="1309040"/>
          <a:ext cx="6326524" cy="36022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FDED1-1A1E-44D7-B872-85FF24D4C5DB}">
  <sheetPr>
    <tabColor theme="0"/>
  </sheetPr>
  <dimension ref="A1:X32"/>
  <sheetViews>
    <sheetView showGridLines="0" zoomScale="70" zoomScaleNormal="70" workbookViewId="0">
      <pane ySplit="2" topLeftCell="A3" activePane="bottomLeft" state="frozen"/>
      <selection pane="bottomLeft" activeCell="J16" sqref="J16"/>
    </sheetView>
  </sheetViews>
  <sheetFormatPr baseColWidth="10" defaultColWidth="11.5703125" defaultRowHeight="15" x14ac:dyDescent="0.25"/>
  <cols>
    <col min="1" max="1" width="5.5703125" style="6" customWidth="1"/>
    <col min="2" max="2" width="51" style="6" customWidth="1"/>
    <col min="3" max="3" width="22" style="6" customWidth="1"/>
    <col min="4" max="4" width="11.5703125" style="6"/>
    <col min="5" max="5" width="19.85546875" style="6" customWidth="1"/>
    <col min="6" max="6" width="11.7109375" style="6" customWidth="1"/>
    <col min="7" max="7" width="17.85546875" style="6" customWidth="1"/>
    <col min="8" max="8" width="16.28515625" style="6" customWidth="1"/>
    <col min="9" max="9" width="24.7109375" style="6" customWidth="1"/>
    <col min="10" max="10" width="54.7109375" style="6" customWidth="1"/>
    <col min="11" max="16384" width="11.5703125" style="6"/>
  </cols>
  <sheetData>
    <row r="1" spans="1:24" ht="48.75" customHeight="1" thickBot="1" x14ac:dyDescent="0.3">
      <c r="A1" s="41" t="s">
        <v>44</v>
      </c>
      <c r="B1" s="41"/>
      <c r="C1" s="41"/>
      <c r="D1" s="41"/>
      <c r="E1" s="41"/>
      <c r="F1" s="41"/>
      <c r="G1" s="41"/>
      <c r="H1" s="41"/>
      <c r="I1" s="41"/>
      <c r="J1" s="41"/>
      <c r="K1" s="41"/>
    </row>
    <row r="2" spans="1:24" ht="38.25" thickBot="1" x14ac:dyDescent="0.3">
      <c r="A2" s="5" t="s">
        <v>0</v>
      </c>
      <c r="B2" s="5" t="s">
        <v>1</v>
      </c>
      <c r="C2" s="5" t="s">
        <v>3</v>
      </c>
      <c r="D2" s="5" t="s">
        <v>42</v>
      </c>
      <c r="E2" s="5" t="s">
        <v>4</v>
      </c>
      <c r="F2" s="5" t="s">
        <v>2</v>
      </c>
      <c r="G2" s="5" t="s">
        <v>5</v>
      </c>
      <c r="H2" s="5" t="s">
        <v>6</v>
      </c>
      <c r="I2" s="5" t="s">
        <v>7</v>
      </c>
      <c r="J2" s="5" t="s">
        <v>8</v>
      </c>
      <c r="K2" s="5" t="s">
        <v>193</v>
      </c>
      <c r="V2" s="20" t="s">
        <v>3</v>
      </c>
      <c r="W2" s="21" t="s">
        <v>43</v>
      </c>
      <c r="X2" s="22" t="s">
        <v>7</v>
      </c>
    </row>
    <row r="3" spans="1:24" ht="78.75" customHeight="1" x14ac:dyDescent="0.25">
      <c r="A3" s="15">
        <v>1</v>
      </c>
      <c r="B3" s="15" t="s">
        <v>200</v>
      </c>
      <c r="C3" s="15" t="s">
        <v>21</v>
      </c>
      <c r="D3" s="15">
        <v>1</v>
      </c>
      <c r="E3" s="16">
        <v>2</v>
      </c>
      <c r="F3" s="16">
        <v>5</v>
      </c>
      <c r="G3" s="15">
        <f>E3*F3</f>
        <v>10</v>
      </c>
      <c r="H3" s="15">
        <f>G3</f>
        <v>10</v>
      </c>
      <c r="I3" s="15" t="s">
        <v>11</v>
      </c>
      <c r="J3" s="15" t="s">
        <v>201</v>
      </c>
      <c r="K3" s="15" t="s">
        <v>194</v>
      </c>
      <c r="V3" s="23" t="s">
        <v>9</v>
      </c>
      <c r="W3" s="24">
        <v>1</v>
      </c>
      <c r="X3" s="25" t="s">
        <v>11</v>
      </c>
    </row>
    <row r="4" spans="1:24" ht="75.75" customHeight="1" x14ac:dyDescent="0.25">
      <c r="A4" s="17">
        <v>2</v>
      </c>
      <c r="B4" s="17" t="s">
        <v>63</v>
      </c>
      <c r="C4" s="18" t="s">
        <v>21</v>
      </c>
      <c r="D4" s="17">
        <v>1</v>
      </c>
      <c r="E4" s="19">
        <v>2</v>
      </c>
      <c r="F4" s="19">
        <v>4</v>
      </c>
      <c r="G4" s="19">
        <f t="shared" ref="G4:G5" si="0">E4*F4</f>
        <v>8</v>
      </c>
      <c r="H4" s="17">
        <f t="shared" ref="H4:H5" si="1">G4</f>
        <v>8</v>
      </c>
      <c r="I4" s="17" t="s">
        <v>11</v>
      </c>
      <c r="J4" s="17" t="s">
        <v>45</v>
      </c>
      <c r="K4" s="17" t="s">
        <v>194</v>
      </c>
      <c r="V4" s="26" t="s">
        <v>21</v>
      </c>
      <c r="W4" s="27">
        <v>2</v>
      </c>
      <c r="X4" s="28" t="s">
        <v>12</v>
      </c>
    </row>
    <row r="5" spans="1:24" ht="75" x14ac:dyDescent="0.25">
      <c r="A5" s="15">
        <v>3</v>
      </c>
      <c r="B5" s="15" t="s">
        <v>65</v>
      </c>
      <c r="C5" s="15" t="s">
        <v>21</v>
      </c>
      <c r="D5" s="15">
        <v>1</v>
      </c>
      <c r="E5" s="16">
        <v>1</v>
      </c>
      <c r="F5" s="16">
        <v>5</v>
      </c>
      <c r="G5" s="15">
        <f t="shared" si="0"/>
        <v>5</v>
      </c>
      <c r="H5" s="15">
        <f t="shared" si="1"/>
        <v>5</v>
      </c>
      <c r="I5" s="15" t="s">
        <v>11</v>
      </c>
      <c r="J5" s="15" t="s">
        <v>46</v>
      </c>
      <c r="K5" s="15" t="s">
        <v>194</v>
      </c>
      <c r="V5" s="26"/>
      <c r="W5" s="27">
        <v>3</v>
      </c>
      <c r="X5" s="28" t="s">
        <v>13</v>
      </c>
    </row>
    <row r="6" spans="1:24" ht="93.75" x14ac:dyDescent="0.25">
      <c r="A6" s="17">
        <v>4</v>
      </c>
      <c r="B6" s="17" t="s">
        <v>62</v>
      </c>
      <c r="C6" s="18" t="s">
        <v>21</v>
      </c>
      <c r="D6" s="17">
        <v>1</v>
      </c>
      <c r="E6" s="19">
        <v>3</v>
      </c>
      <c r="F6" s="19">
        <v>4</v>
      </c>
      <c r="G6" s="19">
        <f t="shared" ref="G6:G22" si="2">E6*F6</f>
        <v>12</v>
      </c>
      <c r="H6" s="17">
        <f t="shared" ref="H6:H22" si="3">G6</f>
        <v>12</v>
      </c>
      <c r="I6" s="17" t="s">
        <v>11</v>
      </c>
      <c r="J6" s="17" t="s">
        <v>47</v>
      </c>
      <c r="K6" s="17" t="s">
        <v>194</v>
      </c>
      <c r="V6" s="26"/>
      <c r="W6" s="27">
        <v>4</v>
      </c>
      <c r="X6" s="28" t="s">
        <v>10</v>
      </c>
    </row>
    <row r="7" spans="1:24" ht="75.75" thickBot="1" x14ac:dyDescent="0.3">
      <c r="A7" s="15">
        <v>5</v>
      </c>
      <c r="B7" s="15" t="s">
        <v>66</v>
      </c>
      <c r="C7" s="15" t="s">
        <v>21</v>
      </c>
      <c r="D7" s="15">
        <v>1</v>
      </c>
      <c r="E7" s="16">
        <v>1</v>
      </c>
      <c r="F7" s="16">
        <v>3</v>
      </c>
      <c r="G7" s="15">
        <f t="shared" si="2"/>
        <v>3</v>
      </c>
      <c r="H7" s="15">
        <f t="shared" si="3"/>
        <v>3</v>
      </c>
      <c r="I7" s="15" t="s">
        <v>13</v>
      </c>
      <c r="J7" s="15" t="s">
        <v>202</v>
      </c>
      <c r="K7" s="15" t="s">
        <v>194</v>
      </c>
      <c r="V7" s="29"/>
      <c r="W7" s="30">
        <v>5</v>
      </c>
      <c r="X7" s="31"/>
    </row>
    <row r="8" spans="1:24" ht="56.25" x14ac:dyDescent="0.25">
      <c r="A8" s="17">
        <v>6</v>
      </c>
      <c r="B8" s="17" t="s">
        <v>64</v>
      </c>
      <c r="C8" s="18" t="s">
        <v>21</v>
      </c>
      <c r="D8" s="17">
        <v>1</v>
      </c>
      <c r="E8" s="19">
        <v>1</v>
      </c>
      <c r="F8" s="19">
        <v>3</v>
      </c>
      <c r="G8" s="19">
        <f t="shared" si="2"/>
        <v>3</v>
      </c>
      <c r="H8" s="17">
        <f t="shared" si="3"/>
        <v>3</v>
      </c>
      <c r="I8" s="17" t="s">
        <v>11</v>
      </c>
      <c r="J8" s="17" t="s">
        <v>48</v>
      </c>
      <c r="K8" s="17" t="s">
        <v>194</v>
      </c>
    </row>
    <row r="9" spans="1:24" ht="111" customHeight="1" x14ac:dyDescent="0.25">
      <c r="A9" s="15">
        <v>7</v>
      </c>
      <c r="B9" s="15" t="s">
        <v>67</v>
      </c>
      <c r="C9" s="15" t="s">
        <v>21</v>
      </c>
      <c r="D9" s="15">
        <v>1</v>
      </c>
      <c r="E9" s="16">
        <v>2</v>
      </c>
      <c r="F9" s="16">
        <v>5</v>
      </c>
      <c r="G9" s="15">
        <f t="shared" si="2"/>
        <v>10</v>
      </c>
      <c r="H9" s="15">
        <f t="shared" si="3"/>
        <v>10</v>
      </c>
      <c r="I9" s="15" t="s">
        <v>11</v>
      </c>
      <c r="J9" s="15" t="s">
        <v>72</v>
      </c>
      <c r="K9" s="15" t="s">
        <v>194</v>
      </c>
    </row>
    <row r="10" spans="1:24" ht="190.5" customHeight="1" x14ac:dyDescent="0.25">
      <c r="A10" s="17">
        <v>8</v>
      </c>
      <c r="B10" s="17" t="s">
        <v>68</v>
      </c>
      <c r="C10" s="18" t="s">
        <v>21</v>
      </c>
      <c r="D10" s="17">
        <v>1</v>
      </c>
      <c r="E10" s="19">
        <v>2</v>
      </c>
      <c r="F10" s="19">
        <v>5</v>
      </c>
      <c r="G10" s="19">
        <f t="shared" si="2"/>
        <v>10</v>
      </c>
      <c r="H10" s="17">
        <f t="shared" si="3"/>
        <v>10</v>
      </c>
      <c r="I10" s="17" t="s">
        <v>11</v>
      </c>
      <c r="J10" s="17" t="s">
        <v>73</v>
      </c>
      <c r="K10" s="17" t="s">
        <v>194</v>
      </c>
    </row>
    <row r="11" spans="1:24" ht="112.5" x14ac:dyDescent="0.25">
      <c r="A11" s="15">
        <v>9</v>
      </c>
      <c r="B11" s="15" t="s">
        <v>69</v>
      </c>
      <c r="C11" s="15" t="s">
        <v>21</v>
      </c>
      <c r="D11" s="15">
        <v>1</v>
      </c>
      <c r="E11" s="16">
        <v>2</v>
      </c>
      <c r="F11" s="16">
        <v>3</v>
      </c>
      <c r="G11" s="15">
        <f t="shared" si="2"/>
        <v>6</v>
      </c>
      <c r="H11" s="15">
        <f t="shared" si="3"/>
        <v>6</v>
      </c>
      <c r="I11" s="15" t="s">
        <v>11</v>
      </c>
      <c r="J11" s="15" t="s">
        <v>74</v>
      </c>
      <c r="K11" s="15" t="s">
        <v>194</v>
      </c>
    </row>
    <row r="12" spans="1:24" ht="114.75" customHeight="1" x14ac:dyDescent="0.25">
      <c r="A12" s="17">
        <v>10</v>
      </c>
      <c r="B12" s="17" t="s">
        <v>203</v>
      </c>
      <c r="C12" s="18" t="s">
        <v>21</v>
      </c>
      <c r="D12" s="17">
        <v>1</v>
      </c>
      <c r="E12" s="19">
        <v>2</v>
      </c>
      <c r="F12" s="19">
        <v>4</v>
      </c>
      <c r="G12" s="19">
        <f t="shared" si="2"/>
        <v>8</v>
      </c>
      <c r="H12" s="17">
        <f t="shared" si="3"/>
        <v>8</v>
      </c>
      <c r="I12" s="17" t="s">
        <v>12</v>
      </c>
      <c r="J12" s="17" t="s">
        <v>75</v>
      </c>
      <c r="K12" s="17" t="s">
        <v>194</v>
      </c>
    </row>
    <row r="13" spans="1:24" ht="137.25" customHeight="1" x14ac:dyDescent="0.25">
      <c r="A13" s="15">
        <v>11</v>
      </c>
      <c r="B13" s="15" t="s">
        <v>204</v>
      </c>
      <c r="C13" s="15" t="s">
        <v>21</v>
      </c>
      <c r="D13" s="15">
        <v>1</v>
      </c>
      <c r="E13" s="16">
        <v>3</v>
      </c>
      <c r="F13" s="16">
        <v>5</v>
      </c>
      <c r="G13" s="15">
        <f t="shared" si="2"/>
        <v>15</v>
      </c>
      <c r="H13" s="15">
        <f t="shared" si="3"/>
        <v>15</v>
      </c>
      <c r="I13" s="15" t="s">
        <v>12</v>
      </c>
      <c r="J13" s="15" t="s">
        <v>195</v>
      </c>
      <c r="K13" s="15" t="s">
        <v>194</v>
      </c>
    </row>
    <row r="14" spans="1:24" ht="93.75" x14ac:dyDescent="0.25">
      <c r="A14" s="17">
        <v>12</v>
      </c>
      <c r="B14" s="17" t="s">
        <v>205</v>
      </c>
      <c r="C14" s="18" t="s">
        <v>21</v>
      </c>
      <c r="D14" s="17">
        <v>1</v>
      </c>
      <c r="E14" s="19">
        <v>1</v>
      </c>
      <c r="F14" s="19">
        <v>5</v>
      </c>
      <c r="G14" s="19">
        <f t="shared" si="2"/>
        <v>5</v>
      </c>
      <c r="H14" s="17">
        <f t="shared" si="3"/>
        <v>5</v>
      </c>
      <c r="I14" s="17" t="s">
        <v>11</v>
      </c>
      <c r="J14" s="17" t="s">
        <v>206</v>
      </c>
      <c r="K14" s="17" t="s">
        <v>194</v>
      </c>
    </row>
    <row r="15" spans="1:24" ht="75" x14ac:dyDescent="0.25">
      <c r="A15" s="15">
        <v>13</v>
      </c>
      <c r="B15" s="15" t="s">
        <v>207</v>
      </c>
      <c r="C15" s="15" t="s">
        <v>21</v>
      </c>
      <c r="D15" s="15">
        <v>1</v>
      </c>
      <c r="E15" s="16">
        <v>1</v>
      </c>
      <c r="F15" s="16">
        <v>3</v>
      </c>
      <c r="G15" s="15">
        <f t="shared" si="2"/>
        <v>3</v>
      </c>
      <c r="H15" s="15">
        <f t="shared" si="3"/>
        <v>3</v>
      </c>
      <c r="I15" s="15" t="s">
        <v>11</v>
      </c>
      <c r="J15" s="15" t="s">
        <v>196</v>
      </c>
      <c r="K15" s="15" t="s">
        <v>194</v>
      </c>
    </row>
    <row r="16" spans="1:24" ht="93.75" x14ac:dyDescent="0.25">
      <c r="A16" s="17">
        <v>14</v>
      </c>
      <c r="B16" s="17" t="s">
        <v>208</v>
      </c>
      <c r="C16" s="18" t="s">
        <v>21</v>
      </c>
      <c r="D16" s="17">
        <v>1</v>
      </c>
      <c r="E16" s="19">
        <v>1</v>
      </c>
      <c r="F16" s="19">
        <v>3</v>
      </c>
      <c r="G16" s="19">
        <f t="shared" si="2"/>
        <v>3</v>
      </c>
      <c r="H16" s="17">
        <f t="shared" si="3"/>
        <v>3</v>
      </c>
      <c r="I16" s="17" t="s">
        <v>11</v>
      </c>
      <c r="J16" s="17" t="s">
        <v>210</v>
      </c>
      <c r="K16" s="17" t="s">
        <v>194</v>
      </c>
    </row>
    <row r="17" spans="1:11" ht="133.5" customHeight="1" x14ac:dyDescent="0.25">
      <c r="A17" s="15">
        <v>15</v>
      </c>
      <c r="B17" s="15" t="s">
        <v>197</v>
      </c>
      <c r="C17" s="15" t="s">
        <v>21</v>
      </c>
      <c r="D17" s="15">
        <v>1</v>
      </c>
      <c r="E17" s="16">
        <v>2</v>
      </c>
      <c r="F17" s="16">
        <v>3</v>
      </c>
      <c r="G17" s="15">
        <f t="shared" si="2"/>
        <v>6</v>
      </c>
      <c r="H17" s="15">
        <f t="shared" si="3"/>
        <v>6</v>
      </c>
      <c r="I17" s="15" t="s">
        <v>11</v>
      </c>
      <c r="J17" s="15" t="s">
        <v>198</v>
      </c>
      <c r="K17" s="15" t="s">
        <v>194</v>
      </c>
    </row>
    <row r="18" spans="1:11" ht="93.75" x14ac:dyDescent="0.25">
      <c r="A18" s="17">
        <v>16</v>
      </c>
      <c r="B18" s="17" t="s">
        <v>49</v>
      </c>
      <c r="C18" s="18" t="s">
        <v>9</v>
      </c>
      <c r="D18" s="17">
        <v>1</v>
      </c>
      <c r="E18" s="19">
        <v>2</v>
      </c>
      <c r="F18" s="19">
        <v>2</v>
      </c>
      <c r="G18" s="19">
        <f t="shared" si="2"/>
        <v>4</v>
      </c>
      <c r="H18" s="17">
        <f t="shared" si="3"/>
        <v>4</v>
      </c>
      <c r="I18" s="17" t="s">
        <v>11</v>
      </c>
      <c r="J18" s="17" t="s">
        <v>70</v>
      </c>
      <c r="K18" s="17" t="s">
        <v>194</v>
      </c>
    </row>
    <row r="19" spans="1:11" ht="150" x14ac:dyDescent="0.25">
      <c r="A19" s="15">
        <v>17</v>
      </c>
      <c r="B19" s="15" t="s">
        <v>50</v>
      </c>
      <c r="C19" s="15" t="s">
        <v>9</v>
      </c>
      <c r="D19" s="15">
        <v>1</v>
      </c>
      <c r="E19" s="16">
        <v>2</v>
      </c>
      <c r="F19" s="16">
        <v>5</v>
      </c>
      <c r="G19" s="15">
        <f t="shared" si="2"/>
        <v>10</v>
      </c>
      <c r="H19" s="15">
        <f t="shared" si="3"/>
        <v>10</v>
      </c>
      <c r="I19" s="15" t="s">
        <v>11</v>
      </c>
      <c r="J19" s="15" t="s">
        <v>76</v>
      </c>
      <c r="K19" s="15" t="s">
        <v>194</v>
      </c>
    </row>
    <row r="20" spans="1:11" ht="93.75" x14ac:dyDescent="0.25">
      <c r="A20" s="17">
        <v>18</v>
      </c>
      <c r="B20" s="17" t="s">
        <v>51</v>
      </c>
      <c r="C20" s="18" t="s">
        <v>9</v>
      </c>
      <c r="D20" s="17">
        <v>1</v>
      </c>
      <c r="E20" s="19">
        <v>3</v>
      </c>
      <c r="F20" s="19">
        <v>5</v>
      </c>
      <c r="G20" s="19">
        <f t="shared" si="2"/>
        <v>15</v>
      </c>
      <c r="H20" s="17">
        <f t="shared" si="3"/>
        <v>15</v>
      </c>
      <c r="I20" s="17" t="s">
        <v>11</v>
      </c>
      <c r="J20" s="17" t="s">
        <v>77</v>
      </c>
      <c r="K20" s="17" t="s">
        <v>194</v>
      </c>
    </row>
    <row r="21" spans="1:11" ht="84.75" customHeight="1" x14ac:dyDescent="0.25">
      <c r="A21" s="15">
        <v>19</v>
      </c>
      <c r="B21" s="15" t="s">
        <v>52</v>
      </c>
      <c r="C21" s="15" t="s">
        <v>9</v>
      </c>
      <c r="D21" s="15">
        <v>1</v>
      </c>
      <c r="E21" s="16">
        <v>3</v>
      </c>
      <c r="F21" s="16">
        <v>4</v>
      </c>
      <c r="G21" s="15">
        <f t="shared" si="2"/>
        <v>12</v>
      </c>
      <c r="H21" s="15">
        <f t="shared" si="3"/>
        <v>12</v>
      </c>
      <c r="I21" s="15" t="s">
        <v>12</v>
      </c>
      <c r="J21" s="15" t="s">
        <v>78</v>
      </c>
      <c r="K21" s="15" t="s">
        <v>194</v>
      </c>
    </row>
    <row r="22" spans="1:11" ht="75" x14ac:dyDescent="0.25">
      <c r="A22" s="17">
        <v>20</v>
      </c>
      <c r="B22" s="17" t="s">
        <v>53</v>
      </c>
      <c r="C22" s="18" t="s">
        <v>9</v>
      </c>
      <c r="D22" s="17">
        <v>1</v>
      </c>
      <c r="E22" s="19">
        <v>2</v>
      </c>
      <c r="F22" s="19">
        <v>3</v>
      </c>
      <c r="G22" s="19">
        <f t="shared" si="2"/>
        <v>6</v>
      </c>
      <c r="H22" s="17">
        <f t="shared" si="3"/>
        <v>6</v>
      </c>
      <c r="I22" s="17" t="s">
        <v>11</v>
      </c>
      <c r="J22" s="17" t="s">
        <v>79</v>
      </c>
      <c r="K22" s="17" t="s">
        <v>194</v>
      </c>
    </row>
    <row r="23" spans="1:11" ht="150" x14ac:dyDescent="0.25">
      <c r="A23" s="15">
        <v>21</v>
      </c>
      <c r="B23" s="15" t="s">
        <v>54</v>
      </c>
      <c r="C23" s="15" t="s">
        <v>9</v>
      </c>
      <c r="D23" s="15">
        <v>1</v>
      </c>
      <c r="E23" s="16">
        <v>2</v>
      </c>
      <c r="F23" s="16">
        <v>4</v>
      </c>
      <c r="G23" s="15">
        <f>E23*F23</f>
        <v>8</v>
      </c>
      <c r="H23" s="15">
        <f>G23</f>
        <v>8</v>
      </c>
      <c r="I23" s="15" t="s">
        <v>12</v>
      </c>
      <c r="J23" s="15" t="s">
        <v>80</v>
      </c>
      <c r="K23" s="15" t="s">
        <v>194</v>
      </c>
    </row>
    <row r="24" spans="1:11" ht="132" customHeight="1" x14ac:dyDescent="0.25">
      <c r="A24" s="17">
        <v>22</v>
      </c>
      <c r="B24" s="17" t="s">
        <v>55</v>
      </c>
      <c r="C24" s="18" t="s">
        <v>9</v>
      </c>
      <c r="D24" s="17">
        <v>1</v>
      </c>
      <c r="E24" s="19">
        <v>2</v>
      </c>
      <c r="F24" s="19">
        <v>4</v>
      </c>
      <c r="G24" s="19">
        <f t="shared" ref="G24:G28" si="4">E24*F24</f>
        <v>8</v>
      </c>
      <c r="H24" s="17">
        <f t="shared" ref="H24:H28" si="5">G24</f>
        <v>8</v>
      </c>
      <c r="I24" s="17" t="s">
        <v>11</v>
      </c>
      <c r="J24" s="17" t="s">
        <v>81</v>
      </c>
      <c r="K24" s="17" t="s">
        <v>194</v>
      </c>
    </row>
    <row r="25" spans="1:11" ht="75" x14ac:dyDescent="0.25">
      <c r="A25" s="15">
        <v>23</v>
      </c>
      <c r="B25" s="15" t="s">
        <v>56</v>
      </c>
      <c r="C25" s="15" t="s">
        <v>9</v>
      </c>
      <c r="D25" s="15">
        <v>1</v>
      </c>
      <c r="E25" s="16">
        <v>1</v>
      </c>
      <c r="F25" s="16">
        <v>2</v>
      </c>
      <c r="G25" s="15">
        <f t="shared" si="4"/>
        <v>2</v>
      </c>
      <c r="H25" s="15">
        <f t="shared" si="5"/>
        <v>2</v>
      </c>
      <c r="I25" s="15" t="s">
        <v>10</v>
      </c>
      <c r="J25" s="15" t="s">
        <v>209</v>
      </c>
      <c r="K25" s="15" t="s">
        <v>194</v>
      </c>
    </row>
    <row r="26" spans="1:11" ht="75" x14ac:dyDescent="0.25">
      <c r="A26" s="17">
        <v>24</v>
      </c>
      <c r="B26" s="17" t="s">
        <v>71</v>
      </c>
      <c r="C26" s="18" t="s">
        <v>9</v>
      </c>
      <c r="D26" s="17">
        <v>1</v>
      </c>
      <c r="E26" s="19">
        <v>1</v>
      </c>
      <c r="F26" s="19">
        <v>3</v>
      </c>
      <c r="G26" s="19">
        <f t="shared" si="4"/>
        <v>3</v>
      </c>
      <c r="H26" s="17">
        <f t="shared" si="5"/>
        <v>3</v>
      </c>
      <c r="I26" s="17" t="s">
        <v>13</v>
      </c>
      <c r="J26" s="17" t="s">
        <v>82</v>
      </c>
      <c r="K26" s="17" t="s">
        <v>194</v>
      </c>
    </row>
    <row r="27" spans="1:11" ht="56.25" x14ac:dyDescent="0.25">
      <c r="A27" s="15">
        <v>25</v>
      </c>
      <c r="B27" s="15" t="s">
        <v>57</v>
      </c>
      <c r="C27" s="15" t="s">
        <v>9</v>
      </c>
      <c r="D27" s="15">
        <v>1</v>
      </c>
      <c r="E27" s="16">
        <v>3</v>
      </c>
      <c r="F27" s="16">
        <v>3</v>
      </c>
      <c r="G27" s="15">
        <f t="shared" si="4"/>
        <v>9</v>
      </c>
      <c r="H27" s="15">
        <f t="shared" si="5"/>
        <v>9</v>
      </c>
      <c r="I27" s="15" t="s">
        <v>11</v>
      </c>
      <c r="J27" s="15" t="s">
        <v>83</v>
      </c>
      <c r="K27" s="15" t="s">
        <v>194</v>
      </c>
    </row>
    <row r="28" spans="1:11" ht="56.25" x14ac:dyDescent="0.25">
      <c r="A28" s="17">
        <v>26</v>
      </c>
      <c r="B28" s="17" t="s">
        <v>59</v>
      </c>
      <c r="C28" s="18" t="s">
        <v>9</v>
      </c>
      <c r="D28" s="17">
        <v>1</v>
      </c>
      <c r="E28" s="19">
        <v>2</v>
      </c>
      <c r="F28" s="19">
        <v>5</v>
      </c>
      <c r="G28" s="19">
        <f t="shared" si="4"/>
        <v>10</v>
      </c>
      <c r="H28" s="17">
        <f t="shared" si="5"/>
        <v>10</v>
      </c>
      <c r="I28" s="17" t="s">
        <v>11</v>
      </c>
      <c r="J28" s="17" t="s">
        <v>84</v>
      </c>
      <c r="K28" s="17" t="s">
        <v>194</v>
      </c>
    </row>
    <row r="29" spans="1:11" ht="75" x14ac:dyDescent="0.25">
      <c r="A29" s="15">
        <v>27</v>
      </c>
      <c r="B29" s="15" t="s">
        <v>60</v>
      </c>
      <c r="C29" s="15" t="s">
        <v>9</v>
      </c>
      <c r="D29" s="15">
        <v>1</v>
      </c>
      <c r="E29" s="16">
        <v>3</v>
      </c>
      <c r="F29" s="16">
        <v>5</v>
      </c>
      <c r="G29" s="15">
        <f t="shared" ref="G29:G32" si="6">E29*F29</f>
        <v>15</v>
      </c>
      <c r="H29" s="15">
        <f t="shared" ref="H29:H32" si="7">G29</f>
        <v>15</v>
      </c>
      <c r="I29" s="15" t="s">
        <v>12</v>
      </c>
      <c r="J29" s="15" t="s">
        <v>85</v>
      </c>
      <c r="K29" s="15" t="s">
        <v>194</v>
      </c>
    </row>
    <row r="30" spans="1:11" ht="93.75" x14ac:dyDescent="0.25">
      <c r="A30" s="17">
        <v>28</v>
      </c>
      <c r="B30" s="17" t="s">
        <v>199</v>
      </c>
      <c r="C30" s="18" t="s">
        <v>9</v>
      </c>
      <c r="D30" s="17">
        <v>1</v>
      </c>
      <c r="E30" s="19">
        <v>3</v>
      </c>
      <c r="F30" s="19">
        <v>5</v>
      </c>
      <c r="G30" s="19">
        <f t="shared" si="6"/>
        <v>15</v>
      </c>
      <c r="H30" s="17">
        <f t="shared" si="7"/>
        <v>15</v>
      </c>
      <c r="I30" s="17" t="s">
        <v>12</v>
      </c>
      <c r="J30" s="17" t="s">
        <v>86</v>
      </c>
      <c r="K30" s="17" t="s">
        <v>194</v>
      </c>
    </row>
    <row r="31" spans="1:11" ht="93.75" x14ac:dyDescent="0.25">
      <c r="A31" s="15">
        <v>29</v>
      </c>
      <c r="B31" s="15" t="s">
        <v>61</v>
      </c>
      <c r="C31" s="15" t="s">
        <v>9</v>
      </c>
      <c r="D31" s="15">
        <v>1</v>
      </c>
      <c r="E31" s="16">
        <v>2</v>
      </c>
      <c r="F31" s="16">
        <v>5</v>
      </c>
      <c r="G31" s="15">
        <f t="shared" si="6"/>
        <v>10</v>
      </c>
      <c r="H31" s="15">
        <f t="shared" si="7"/>
        <v>10</v>
      </c>
      <c r="I31" s="15" t="s">
        <v>13</v>
      </c>
      <c r="J31" s="15" t="s">
        <v>87</v>
      </c>
      <c r="K31" s="15" t="s">
        <v>194</v>
      </c>
    </row>
    <row r="32" spans="1:11" ht="86.25" customHeight="1" x14ac:dyDescent="0.25">
      <c r="A32" s="17">
        <v>30</v>
      </c>
      <c r="B32" s="17" t="s">
        <v>58</v>
      </c>
      <c r="C32" s="18" t="s">
        <v>9</v>
      </c>
      <c r="D32" s="17">
        <v>1</v>
      </c>
      <c r="E32" s="19">
        <v>2</v>
      </c>
      <c r="F32" s="19">
        <v>2</v>
      </c>
      <c r="G32" s="19">
        <f t="shared" si="6"/>
        <v>4</v>
      </c>
      <c r="H32" s="17">
        <f t="shared" si="7"/>
        <v>4</v>
      </c>
      <c r="I32" s="17" t="s">
        <v>13</v>
      </c>
      <c r="J32" s="17" t="s">
        <v>88</v>
      </c>
      <c r="K32" s="17" t="s">
        <v>194</v>
      </c>
    </row>
  </sheetData>
  <mergeCells count="1">
    <mergeCell ref="A1:K1"/>
  </mergeCells>
  <conditionalFormatting sqref="H3:H32">
    <cfRule type="iconSet" priority="1">
      <iconSet iconSet="3Symbols" showValue="0" reverse="1">
        <cfvo type="percent" val="0"/>
        <cfvo type="num" val="4"/>
        <cfvo type="num" val="12"/>
      </iconSet>
    </cfRule>
  </conditionalFormatting>
  <dataValidations count="3">
    <dataValidation type="list" allowBlank="1" showInputMessage="1" showErrorMessage="1" sqref="C3:C32" xr:uid="{9E3BB9DB-7B29-481D-B61E-D6FF8F2E89E6}">
      <formula1>Tipo</formula1>
    </dataValidation>
    <dataValidation type="list" allowBlank="1" showInputMessage="1" showErrorMessage="1" sqref="E3:F32" xr:uid="{8532C361-090D-44A3-9B9A-0226D51640E6}">
      <formula1>Numero</formula1>
    </dataValidation>
    <dataValidation type="list" allowBlank="1" showInputMessage="1" showErrorMessage="1" sqref="I3:I32" xr:uid="{4E64329E-3385-4E08-9327-DBF537FE27A0}">
      <formula1>Accion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6D1D5-C0F8-4862-8277-1721ED58A928}">
  <dimension ref="A1:B82"/>
  <sheetViews>
    <sheetView showGridLines="0" topLeftCell="A85" workbookViewId="0">
      <selection activeCell="B86" sqref="B86"/>
    </sheetView>
  </sheetViews>
  <sheetFormatPr baseColWidth="10" defaultRowHeight="15" x14ac:dyDescent="0.25"/>
  <cols>
    <col min="1" max="1" width="22.5703125" customWidth="1"/>
    <col min="2" max="2" width="92.28515625" customWidth="1"/>
  </cols>
  <sheetData>
    <row r="1" spans="1:2" ht="33.75" customHeight="1" thickBot="1" x14ac:dyDescent="0.3">
      <c r="A1" s="35" t="s">
        <v>22</v>
      </c>
      <c r="B1" s="36" t="s">
        <v>89</v>
      </c>
    </row>
    <row r="2" spans="1:2" x14ac:dyDescent="0.25">
      <c r="A2" s="7" t="s">
        <v>14</v>
      </c>
      <c r="B2" s="39" t="s">
        <v>90</v>
      </c>
    </row>
    <row r="3" spans="1:2" x14ac:dyDescent="0.25">
      <c r="A3" s="8" t="s">
        <v>15</v>
      </c>
      <c r="B3" s="40" t="s">
        <v>94</v>
      </c>
    </row>
    <row r="4" spans="1:2" x14ac:dyDescent="0.25">
      <c r="A4" s="9"/>
      <c r="B4" s="40" t="s">
        <v>93</v>
      </c>
    </row>
    <row r="5" spans="1:2" x14ac:dyDescent="0.25">
      <c r="A5" s="9"/>
      <c r="B5" s="40" t="s">
        <v>91</v>
      </c>
    </row>
    <row r="6" spans="1:2" ht="15.75" thickBot="1" x14ac:dyDescent="0.3">
      <c r="A6" s="9"/>
      <c r="B6" s="11"/>
    </row>
    <row r="7" spans="1:2" ht="15.75" thickBot="1" x14ac:dyDescent="0.3">
      <c r="A7" s="33" t="s">
        <v>105</v>
      </c>
      <c r="B7" s="32" t="s">
        <v>92</v>
      </c>
    </row>
    <row r="8" spans="1:2" x14ac:dyDescent="0.25">
      <c r="A8" s="8" t="s">
        <v>16</v>
      </c>
      <c r="B8" s="10" t="s">
        <v>101</v>
      </c>
    </row>
    <row r="9" spans="1:2" x14ac:dyDescent="0.25">
      <c r="A9" s="8" t="s">
        <v>17</v>
      </c>
      <c r="B9" s="10" t="s">
        <v>133</v>
      </c>
    </row>
    <row r="10" spans="1:2" x14ac:dyDescent="0.25">
      <c r="A10" s="8" t="s">
        <v>18</v>
      </c>
      <c r="B10" s="10" t="s">
        <v>132</v>
      </c>
    </row>
    <row r="11" spans="1:2" x14ac:dyDescent="0.25">
      <c r="A11" s="8" t="s">
        <v>19</v>
      </c>
      <c r="B11" s="10" t="s">
        <v>176</v>
      </c>
    </row>
    <row r="12" spans="1:2" x14ac:dyDescent="0.25">
      <c r="A12" s="12" t="s">
        <v>20</v>
      </c>
      <c r="B12" s="34" t="s">
        <v>95</v>
      </c>
    </row>
    <row r="13" spans="1:2" ht="15.75" thickBot="1" x14ac:dyDescent="0.3">
      <c r="A13" s="42"/>
      <c r="B13" s="43"/>
    </row>
    <row r="14" spans="1:2" ht="15.75" thickBot="1" x14ac:dyDescent="0.3">
      <c r="A14" s="33" t="s">
        <v>106</v>
      </c>
      <c r="B14" s="32" t="s">
        <v>96</v>
      </c>
    </row>
    <row r="15" spans="1:2" x14ac:dyDescent="0.25">
      <c r="A15" s="8" t="s">
        <v>16</v>
      </c>
      <c r="B15" s="10" t="s">
        <v>100</v>
      </c>
    </row>
    <row r="16" spans="1:2" x14ac:dyDescent="0.25">
      <c r="A16" s="8" t="s">
        <v>17</v>
      </c>
      <c r="B16" s="10" t="s">
        <v>133</v>
      </c>
    </row>
    <row r="17" spans="1:2" x14ac:dyDescent="0.25">
      <c r="A17" s="8" t="s">
        <v>18</v>
      </c>
      <c r="B17" s="10" t="s">
        <v>135</v>
      </c>
    </row>
    <row r="18" spans="1:2" x14ac:dyDescent="0.25">
      <c r="A18" s="8" t="s">
        <v>19</v>
      </c>
      <c r="B18" s="10" t="s">
        <v>176</v>
      </c>
    </row>
    <row r="19" spans="1:2" x14ac:dyDescent="0.25">
      <c r="A19" s="12" t="s">
        <v>20</v>
      </c>
      <c r="B19" s="34" t="s">
        <v>95</v>
      </c>
    </row>
    <row r="20" spans="1:2" ht="15.75" thickBot="1" x14ac:dyDescent="0.3">
      <c r="A20" s="42"/>
      <c r="B20" s="43"/>
    </row>
    <row r="21" spans="1:2" ht="15.75" thickBot="1" x14ac:dyDescent="0.3">
      <c r="A21" s="33" t="s">
        <v>107</v>
      </c>
      <c r="B21" s="32" t="s">
        <v>97</v>
      </c>
    </row>
    <row r="22" spans="1:2" x14ac:dyDescent="0.25">
      <c r="A22" s="8" t="s">
        <v>16</v>
      </c>
      <c r="B22" s="10" t="s">
        <v>102</v>
      </c>
    </row>
    <row r="23" spans="1:2" x14ac:dyDescent="0.25">
      <c r="A23" s="8" t="s">
        <v>17</v>
      </c>
      <c r="B23" s="10" t="s">
        <v>133</v>
      </c>
    </row>
    <row r="24" spans="1:2" x14ac:dyDescent="0.25">
      <c r="A24" s="8" t="s">
        <v>18</v>
      </c>
      <c r="B24" s="10" t="s">
        <v>136</v>
      </c>
    </row>
    <row r="25" spans="1:2" x14ac:dyDescent="0.25">
      <c r="A25" s="8" t="s">
        <v>19</v>
      </c>
      <c r="B25" s="10" t="s">
        <v>176</v>
      </c>
    </row>
    <row r="26" spans="1:2" x14ac:dyDescent="0.25">
      <c r="A26" s="12" t="s">
        <v>20</v>
      </c>
      <c r="B26" s="34" t="s">
        <v>95</v>
      </c>
    </row>
    <row r="27" spans="1:2" ht="15.75" thickBot="1" x14ac:dyDescent="0.3">
      <c r="A27" s="42"/>
      <c r="B27" s="43"/>
    </row>
    <row r="28" spans="1:2" ht="15.75" thickBot="1" x14ac:dyDescent="0.3">
      <c r="A28" s="33" t="s">
        <v>108</v>
      </c>
      <c r="B28" s="32" t="s">
        <v>98</v>
      </c>
    </row>
    <row r="29" spans="1:2" x14ac:dyDescent="0.25">
      <c r="A29" s="8" t="s">
        <v>16</v>
      </c>
      <c r="B29" s="10" t="s">
        <v>99</v>
      </c>
    </row>
    <row r="30" spans="1:2" x14ac:dyDescent="0.25">
      <c r="A30" s="8" t="s">
        <v>17</v>
      </c>
      <c r="B30" s="10" t="s">
        <v>133</v>
      </c>
    </row>
    <row r="31" spans="1:2" x14ac:dyDescent="0.25">
      <c r="A31" s="8" t="s">
        <v>18</v>
      </c>
      <c r="B31" s="10" t="s">
        <v>137</v>
      </c>
    </row>
    <row r="32" spans="1:2" x14ac:dyDescent="0.25">
      <c r="A32" s="8" t="s">
        <v>19</v>
      </c>
      <c r="B32" s="10" t="s">
        <v>103</v>
      </c>
    </row>
    <row r="33" spans="1:2" x14ac:dyDescent="0.25">
      <c r="A33" s="12" t="s">
        <v>20</v>
      </c>
      <c r="B33" s="34" t="s">
        <v>95</v>
      </c>
    </row>
    <row r="34" spans="1:2" ht="15.75" thickBot="1" x14ac:dyDescent="0.3">
      <c r="A34" s="42"/>
      <c r="B34" s="43"/>
    </row>
    <row r="35" spans="1:2" ht="15.75" thickBot="1" x14ac:dyDescent="0.3">
      <c r="A35" s="33" t="s">
        <v>109</v>
      </c>
      <c r="B35" s="32" t="s">
        <v>104</v>
      </c>
    </row>
    <row r="36" spans="1:2" x14ac:dyDescent="0.25">
      <c r="A36" s="8" t="s">
        <v>16</v>
      </c>
      <c r="B36" s="10" t="s">
        <v>110</v>
      </c>
    </row>
    <row r="37" spans="1:2" x14ac:dyDescent="0.25">
      <c r="A37" s="8" t="s">
        <v>17</v>
      </c>
      <c r="B37" s="10" t="s">
        <v>133</v>
      </c>
    </row>
    <row r="38" spans="1:2" x14ac:dyDescent="0.25">
      <c r="A38" s="8" t="s">
        <v>18</v>
      </c>
      <c r="B38" s="10" t="s">
        <v>138</v>
      </c>
    </row>
    <row r="39" spans="1:2" x14ac:dyDescent="0.25">
      <c r="A39" s="8" t="s">
        <v>19</v>
      </c>
      <c r="B39" s="10" t="s">
        <v>103</v>
      </c>
    </row>
    <row r="40" spans="1:2" x14ac:dyDescent="0.25">
      <c r="A40" s="12" t="s">
        <v>20</v>
      </c>
      <c r="B40" s="34" t="s">
        <v>95</v>
      </c>
    </row>
    <row r="41" spans="1:2" ht="15.75" thickBot="1" x14ac:dyDescent="0.3">
      <c r="A41" s="42"/>
      <c r="B41" s="43"/>
    </row>
    <row r="42" spans="1:2" ht="15.75" thickBot="1" x14ac:dyDescent="0.3"/>
    <row r="43" spans="1:2" x14ac:dyDescent="0.25">
      <c r="A43" s="7" t="s">
        <v>14</v>
      </c>
      <c r="B43" s="39" t="s">
        <v>111</v>
      </c>
    </row>
    <row r="44" spans="1:2" x14ac:dyDescent="0.25">
      <c r="A44" s="8" t="s">
        <v>15</v>
      </c>
      <c r="B44" s="40" t="s">
        <v>94</v>
      </c>
    </row>
    <row r="45" spans="1:2" x14ac:dyDescent="0.25">
      <c r="A45" s="9"/>
      <c r="B45" s="40" t="s">
        <v>112</v>
      </c>
    </row>
    <row r="46" spans="1:2" x14ac:dyDescent="0.25">
      <c r="A46" s="9"/>
      <c r="B46" s="40" t="s">
        <v>91</v>
      </c>
    </row>
    <row r="47" spans="1:2" ht="15.75" thickBot="1" x14ac:dyDescent="0.3">
      <c r="A47" s="9"/>
      <c r="B47" s="11"/>
    </row>
    <row r="48" spans="1:2" ht="15.75" thickBot="1" x14ac:dyDescent="0.3">
      <c r="A48" s="33" t="s">
        <v>116</v>
      </c>
      <c r="B48" s="32" t="s">
        <v>117</v>
      </c>
    </row>
    <row r="49" spans="1:2" x14ac:dyDescent="0.25">
      <c r="A49" s="8" t="s">
        <v>16</v>
      </c>
      <c r="B49" s="10" t="s">
        <v>101</v>
      </c>
    </row>
    <row r="50" spans="1:2" x14ac:dyDescent="0.25">
      <c r="A50" s="8" t="s">
        <v>17</v>
      </c>
      <c r="B50" s="10" t="s">
        <v>134</v>
      </c>
    </row>
    <row r="51" spans="1:2" x14ac:dyDescent="0.25">
      <c r="A51" s="8" t="s">
        <v>18</v>
      </c>
      <c r="B51" s="10" t="s">
        <v>132</v>
      </c>
    </row>
    <row r="52" spans="1:2" x14ac:dyDescent="0.25">
      <c r="A52" s="8" t="s">
        <v>19</v>
      </c>
      <c r="B52" s="10" t="s">
        <v>176</v>
      </c>
    </row>
    <row r="53" spans="1:2" x14ac:dyDescent="0.25">
      <c r="A53" s="12" t="s">
        <v>20</v>
      </c>
      <c r="B53" s="34" t="s">
        <v>95</v>
      </c>
    </row>
    <row r="54" spans="1:2" ht="15.75" thickBot="1" x14ac:dyDescent="0.3">
      <c r="A54" s="42"/>
      <c r="B54" s="43"/>
    </row>
    <row r="55" spans="1:2" ht="15.75" thickBot="1" x14ac:dyDescent="0.3">
      <c r="A55" s="33" t="s">
        <v>118</v>
      </c>
      <c r="B55" s="32" t="s">
        <v>119</v>
      </c>
    </row>
    <row r="56" spans="1:2" x14ac:dyDescent="0.25">
      <c r="A56" s="8" t="s">
        <v>16</v>
      </c>
      <c r="B56" s="10" t="s">
        <v>100</v>
      </c>
    </row>
    <row r="57" spans="1:2" x14ac:dyDescent="0.25">
      <c r="A57" s="8" t="s">
        <v>17</v>
      </c>
      <c r="B57" s="10" t="s">
        <v>134</v>
      </c>
    </row>
    <row r="58" spans="1:2" x14ac:dyDescent="0.25">
      <c r="A58" s="8" t="s">
        <v>18</v>
      </c>
      <c r="B58" s="10" t="s">
        <v>135</v>
      </c>
    </row>
    <row r="59" spans="1:2" x14ac:dyDescent="0.25">
      <c r="A59" s="8" t="s">
        <v>19</v>
      </c>
      <c r="B59" s="10" t="s">
        <v>176</v>
      </c>
    </row>
    <row r="60" spans="1:2" x14ac:dyDescent="0.25">
      <c r="A60" s="12" t="s">
        <v>20</v>
      </c>
      <c r="B60" s="34" t="s">
        <v>95</v>
      </c>
    </row>
    <row r="61" spans="1:2" ht="15.75" thickBot="1" x14ac:dyDescent="0.3">
      <c r="A61" s="42"/>
      <c r="B61" s="43"/>
    </row>
    <row r="62" spans="1:2" ht="15.75" thickBot="1" x14ac:dyDescent="0.3">
      <c r="A62" s="33" t="s">
        <v>120</v>
      </c>
      <c r="B62" s="32" t="s">
        <v>121</v>
      </c>
    </row>
    <row r="63" spans="1:2" x14ac:dyDescent="0.25">
      <c r="A63" s="8" t="s">
        <v>16</v>
      </c>
      <c r="B63" s="10" t="s">
        <v>102</v>
      </c>
    </row>
    <row r="64" spans="1:2" x14ac:dyDescent="0.25">
      <c r="A64" s="8" t="s">
        <v>17</v>
      </c>
      <c r="B64" s="10" t="s">
        <v>134</v>
      </c>
    </row>
    <row r="65" spans="1:2" x14ac:dyDescent="0.25">
      <c r="A65" s="8" t="s">
        <v>18</v>
      </c>
      <c r="B65" s="10" t="s">
        <v>136</v>
      </c>
    </row>
    <row r="66" spans="1:2" x14ac:dyDescent="0.25">
      <c r="A66" s="8" t="s">
        <v>19</v>
      </c>
      <c r="B66" s="10" t="s">
        <v>176</v>
      </c>
    </row>
    <row r="67" spans="1:2" x14ac:dyDescent="0.25">
      <c r="A67" s="12" t="s">
        <v>20</v>
      </c>
      <c r="B67" s="34" t="s">
        <v>95</v>
      </c>
    </row>
    <row r="68" spans="1:2" ht="15.75" thickBot="1" x14ac:dyDescent="0.3">
      <c r="A68" s="42"/>
      <c r="B68" s="43"/>
    </row>
    <row r="69" spans="1:2" ht="15.75" thickBot="1" x14ac:dyDescent="0.3">
      <c r="A69" s="33" t="s">
        <v>122</v>
      </c>
      <c r="B69" s="32" t="s">
        <v>123</v>
      </c>
    </row>
    <row r="70" spans="1:2" x14ac:dyDescent="0.25">
      <c r="A70" s="8" t="s">
        <v>16</v>
      </c>
      <c r="B70" s="10" t="s">
        <v>113</v>
      </c>
    </row>
    <row r="71" spans="1:2" x14ac:dyDescent="0.25">
      <c r="A71" s="8" t="s">
        <v>17</v>
      </c>
      <c r="B71" s="10" t="s">
        <v>134</v>
      </c>
    </row>
    <row r="72" spans="1:2" x14ac:dyDescent="0.25">
      <c r="A72" s="8" t="s">
        <v>18</v>
      </c>
      <c r="B72" s="10" t="s">
        <v>139</v>
      </c>
    </row>
    <row r="73" spans="1:2" x14ac:dyDescent="0.25">
      <c r="A73" s="8" t="s">
        <v>19</v>
      </c>
      <c r="B73" s="10" t="s">
        <v>114</v>
      </c>
    </row>
    <row r="74" spans="1:2" x14ac:dyDescent="0.25">
      <c r="A74" s="12" t="s">
        <v>20</v>
      </c>
      <c r="B74" s="34" t="s">
        <v>95</v>
      </c>
    </row>
    <row r="75" spans="1:2" ht="15.75" thickBot="1" x14ac:dyDescent="0.3">
      <c r="A75" s="42"/>
      <c r="B75" s="43"/>
    </row>
    <row r="76" spans="1:2" ht="15.75" thickBot="1" x14ac:dyDescent="0.3">
      <c r="A76" s="33" t="s">
        <v>124</v>
      </c>
      <c r="B76" s="32" t="s">
        <v>125</v>
      </c>
    </row>
    <row r="77" spans="1:2" x14ac:dyDescent="0.25">
      <c r="A77" s="8" t="s">
        <v>16</v>
      </c>
      <c r="B77" s="10" t="s">
        <v>115</v>
      </c>
    </row>
    <row r="78" spans="1:2" x14ac:dyDescent="0.25">
      <c r="A78" s="8" t="s">
        <v>17</v>
      </c>
      <c r="B78" s="10" t="s">
        <v>134</v>
      </c>
    </row>
    <row r="79" spans="1:2" x14ac:dyDescent="0.25">
      <c r="A79" s="8" t="s">
        <v>18</v>
      </c>
      <c r="B79" s="10" t="s">
        <v>140</v>
      </c>
    </row>
    <row r="80" spans="1:2" x14ac:dyDescent="0.25">
      <c r="A80" s="8" t="s">
        <v>19</v>
      </c>
      <c r="B80" s="10" t="s">
        <v>114</v>
      </c>
    </row>
    <row r="81" spans="1:2" x14ac:dyDescent="0.25">
      <c r="A81" s="12" t="s">
        <v>20</v>
      </c>
      <c r="B81" s="34" t="s">
        <v>95</v>
      </c>
    </row>
    <row r="82" spans="1:2" ht="15.75" thickBot="1" x14ac:dyDescent="0.3">
      <c r="A82" s="42"/>
      <c r="B82" s="43"/>
    </row>
  </sheetData>
  <mergeCells count="10">
    <mergeCell ref="A54:B54"/>
    <mergeCell ref="A61:B61"/>
    <mergeCell ref="A68:B68"/>
    <mergeCell ref="A75:B75"/>
    <mergeCell ref="A82:B82"/>
    <mergeCell ref="A13:B13"/>
    <mergeCell ref="A20:B20"/>
    <mergeCell ref="A27:B27"/>
    <mergeCell ref="A34:B34"/>
    <mergeCell ref="A41:B4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4981A-CE70-4750-ADFC-7FE4C8DA7ED9}">
  <dimension ref="A1:B101"/>
  <sheetViews>
    <sheetView showGridLines="0" topLeftCell="A67" workbookViewId="0">
      <selection activeCell="H84" sqref="H84"/>
    </sheetView>
  </sheetViews>
  <sheetFormatPr baseColWidth="10" defaultRowHeight="15" x14ac:dyDescent="0.25"/>
  <cols>
    <col min="1" max="1" width="27.5703125" customWidth="1"/>
    <col min="2" max="2" width="92.28515625" customWidth="1"/>
  </cols>
  <sheetData>
    <row r="1" spans="1:2" ht="33.75" customHeight="1" thickBot="1" x14ac:dyDescent="0.3">
      <c r="A1" s="35" t="s">
        <v>22</v>
      </c>
      <c r="B1" s="36" t="s">
        <v>126</v>
      </c>
    </row>
    <row r="2" spans="1:2" x14ac:dyDescent="0.25">
      <c r="A2" s="7" t="s">
        <v>14</v>
      </c>
      <c r="B2" s="39" t="s">
        <v>128</v>
      </c>
    </row>
    <row r="3" spans="1:2" x14ac:dyDescent="0.25">
      <c r="A3" s="8" t="s">
        <v>15</v>
      </c>
      <c r="B3" s="40" t="s">
        <v>129</v>
      </c>
    </row>
    <row r="4" spans="1:2" x14ac:dyDescent="0.25">
      <c r="A4" s="9"/>
      <c r="B4" s="40" t="s">
        <v>130</v>
      </c>
    </row>
    <row r="5" spans="1:2" x14ac:dyDescent="0.25">
      <c r="A5" s="9"/>
      <c r="B5" s="40" t="s">
        <v>165</v>
      </c>
    </row>
    <row r="6" spans="1:2" ht="15.75" thickBot="1" x14ac:dyDescent="0.3">
      <c r="A6" s="9"/>
      <c r="B6" s="11"/>
    </row>
    <row r="7" spans="1:2" ht="15.75" thickBot="1" x14ac:dyDescent="0.3">
      <c r="A7" s="33" t="s">
        <v>145</v>
      </c>
      <c r="B7" s="32" t="s">
        <v>127</v>
      </c>
    </row>
    <row r="8" spans="1:2" x14ac:dyDescent="0.25">
      <c r="A8" s="8" t="s">
        <v>16</v>
      </c>
      <c r="B8" s="10" t="s">
        <v>131</v>
      </c>
    </row>
    <row r="9" spans="1:2" x14ac:dyDescent="0.25">
      <c r="A9" s="8" t="s">
        <v>17</v>
      </c>
      <c r="B9" s="10" t="s">
        <v>141</v>
      </c>
    </row>
    <row r="10" spans="1:2" x14ac:dyDescent="0.25">
      <c r="A10" s="8" t="s">
        <v>18</v>
      </c>
      <c r="B10" s="10" t="s">
        <v>142</v>
      </c>
    </row>
    <row r="11" spans="1:2" x14ac:dyDescent="0.25">
      <c r="A11" s="8" t="s">
        <v>19</v>
      </c>
      <c r="B11" s="10" t="s">
        <v>143</v>
      </c>
    </row>
    <row r="12" spans="1:2" x14ac:dyDescent="0.25">
      <c r="A12" s="12" t="s">
        <v>20</v>
      </c>
      <c r="B12" s="34" t="s">
        <v>95</v>
      </c>
    </row>
    <row r="13" spans="1:2" ht="15.75" thickBot="1" x14ac:dyDescent="0.3">
      <c r="A13" s="37"/>
      <c r="B13" s="38"/>
    </row>
    <row r="14" spans="1:2" ht="15.75" thickBot="1" x14ac:dyDescent="0.3">
      <c r="A14" s="33" t="s">
        <v>146</v>
      </c>
      <c r="B14" s="32" t="s">
        <v>144</v>
      </c>
    </row>
    <row r="15" spans="1:2" x14ac:dyDescent="0.25">
      <c r="A15" s="8" t="s">
        <v>16</v>
      </c>
      <c r="B15" s="10" t="s">
        <v>147</v>
      </c>
    </row>
    <row r="16" spans="1:2" x14ac:dyDescent="0.25">
      <c r="A16" s="8" t="s">
        <v>17</v>
      </c>
      <c r="B16" s="10" t="s">
        <v>141</v>
      </c>
    </row>
    <row r="17" spans="1:2" x14ac:dyDescent="0.25">
      <c r="A17" s="8" t="s">
        <v>18</v>
      </c>
      <c r="B17" s="10" t="s">
        <v>159</v>
      </c>
    </row>
    <row r="18" spans="1:2" x14ac:dyDescent="0.25">
      <c r="A18" s="8" t="s">
        <v>19</v>
      </c>
      <c r="B18" s="10" t="s">
        <v>143</v>
      </c>
    </row>
    <row r="19" spans="1:2" x14ac:dyDescent="0.25">
      <c r="A19" s="12" t="s">
        <v>20</v>
      </c>
      <c r="B19" s="34" t="s">
        <v>95</v>
      </c>
    </row>
    <row r="20" spans="1:2" ht="15.75" thickBot="1" x14ac:dyDescent="0.3">
      <c r="A20" s="37"/>
      <c r="B20" s="38"/>
    </row>
    <row r="21" spans="1:2" ht="15.75" thickBot="1" x14ac:dyDescent="0.3">
      <c r="A21" s="33" t="s">
        <v>148</v>
      </c>
      <c r="B21" s="32" t="s">
        <v>149</v>
      </c>
    </row>
    <row r="22" spans="1:2" x14ac:dyDescent="0.25">
      <c r="A22" s="8" t="s">
        <v>16</v>
      </c>
      <c r="B22" s="10" t="s">
        <v>150</v>
      </c>
    </row>
    <row r="23" spans="1:2" x14ac:dyDescent="0.25">
      <c r="A23" s="8" t="s">
        <v>17</v>
      </c>
      <c r="B23" s="10" t="s">
        <v>141</v>
      </c>
    </row>
    <row r="24" spans="1:2" x14ac:dyDescent="0.25">
      <c r="A24" s="8" t="s">
        <v>18</v>
      </c>
      <c r="B24" s="10" t="s">
        <v>151</v>
      </c>
    </row>
    <row r="25" spans="1:2" x14ac:dyDescent="0.25">
      <c r="A25" s="8" t="s">
        <v>19</v>
      </c>
      <c r="B25" s="10" t="s">
        <v>143</v>
      </c>
    </row>
    <row r="26" spans="1:2" x14ac:dyDescent="0.25">
      <c r="A26" s="12" t="s">
        <v>20</v>
      </c>
      <c r="B26" s="34" t="s">
        <v>95</v>
      </c>
    </row>
    <row r="27" spans="1:2" ht="15.75" thickBot="1" x14ac:dyDescent="0.3">
      <c r="A27" s="37"/>
      <c r="B27" s="38"/>
    </row>
    <row r="28" spans="1:2" ht="15.75" thickBot="1" x14ac:dyDescent="0.3"/>
    <row r="29" spans="1:2" x14ac:dyDescent="0.25">
      <c r="A29" s="7" t="s">
        <v>14</v>
      </c>
      <c r="B29" s="39" t="s">
        <v>153</v>
      </c>
    </row>
    <row r="30" spans="1:2" x14ac:dyDescent="0.25">
      <c r="A30" s="8" t="s">
        <v>15</v>
      </c>
      <c r="B30" s="40" t="s">
        <v>129</v>
      </c>
    </row>
    <row r="31" spans="1:2" x14ac:dyDescent="0.25">
      <c r="A31" s="9"/>
      <c r="B31" s="40" t="s">
        <v>166</v>
      </c>
    </row>
    <row r="32" spans="1:2" x14ac:dyDescent="0.25">
      <c r="A32" s="9"/>
      <c r="B32" s="40" t="s">
        <v>165</v>
      </c>
    </row>
    <row r="33" spans="1:2" ht="15.75" thickBot="1" x14ac:dyDescent="0.3">
      <c r="A33" s="9"/>
      <c r="B33" s="11"/>
    </row>
    <row r="34" spans="1:2" ht="15.75" thickBot="1" x14ac:dyDescent="0.3">
      <c r="A34" s="33" t="s">
        <v>152</v>
      </c>
      <c r="B34" s="32" t="s">
        <v>156</v>
      </c>
    </row>
    <row r="35" spans="1:2" x14ac:dyDescent="0.25">
      <c r="A35" s="8" t="s">
        <v>16</v>
      </c>
      <c r="B35" s="10" t="s">
        <v>131</v>
      </c>
    </row>
    <row r="36" spans="1:2" x14ac:dyDescent="0.25">
      <c r="A36" s="8" t="s">
        <v>17</v>
      </c>
      <c r="B36" s="10" t="s">
        <v>154</v>
      </c>
    </row>
    <row r="37" spans="1:2" x14ac:dyDescent="0.25">
      <c r="A37" s="8" t="s">
        <v>18</v>
      </c>
      <c r="B37" s="10" t="s">
        <v>142</v>
      </c>
    </row>
    <row r="38" spans="1:2" x14ac:dyDescent="0.25">
      <c r="A38" s="8" t="s">
        <v>19</v>
      </c>
      <c r="B38" s="10" t="s">
        <v>155</v>
      </c>
    </row>
    <row r="39" spans="1:2" x14ac:dyDescent="0.25">
      <c r="A39" s="12" t="s">
        <v>20</v>
      </c>
      <c r="B39" s="34" t="s">
        <v>95</v>
      </c>
    </row>
    <row r="40" spans="1:2" ht="15.75" thickBot="1" x14ac:dyDescent="0.3">
      <c r="A40" s="37"/>
      <c r="B40" s="38"/>
    </row>
    <row r="41" spans="1:2" ht="15.75" thickBot="1" x14ac:dyDescent="0.3">
      <c r="A41" s="33" t="s">
        <v>161</v>
      </c>
      <c r="B41" s="32" t="s">
        <v>157</v>
      </c>
    </row>
    <row r="42" spans="1:2" x14ac:dyDescent="0.25">
      <c r="A42" s="8" t="s">
        <v>16</v>
      </c>
      <c r="B42" s="10" t="s">
        <v>147</v>
      </c>
    </row>
    <row r="43" spans="1:2" x14ac:dyDescent="0.25">
      <c r="A43" s="8" t="s">
        <v>17</v>
      </c>
      <c r="B43" s="10" t="s">
        <v>154</v>
      </c>
    </row>
    <row r="44" spans="1:2" x14ac:dyDescent="0.25">
      <c r="A44" s="8" t="s">
        <v>18</v>
      </c>
      <c r="B44" s="10" t="s">
        <v>159</v>
      </c>
    </row>
    <row r="45" spans="1:2" x14ac:dyDescent="0.25">
      <c r="A45" s="8" t="s">
        <v>19</v>
      </c>
      <c r="B45" s="10" t="s">
        <v>160</v>
      </c>
    </row>
    <row r="46" spans="1:2" x14ac:dyDescent="0.25">
      <c r="A46" s="12" t="s">
        <v>20</v>
      </c>
      <c r="B46" s="34" t="s">
        <v>95</v>
      </c>
    </row>
    <row r="47" spans="1:2" ht="15.75" thickBot="1" x14ac:dyDescent="0.3">
      <c r="A47" s="37"/>
      <c r="B47" s="38"/>
    </row>
    <row r="48" spans="1:2" ht="15.75" thickBot="1" x14ac:dyDescent="0.3">
      <c r="A48" s="33" t="s">
        <v>162</v>
      </c>
      <c r="B48" s="32" t="s">
        <v>158</v>
      </c>
    </row>
    <row r="49" spans="1:2" x14ac:dyDescent="0.25">
      <c r="A49" s="8" t="s">
        <v>16</v>
      </c>
      <c r="B49" s="10" t="s">
        <v>150</v>
      </c>
    </row>
    <row r="50" spans="1:2" x14ac:dyDescent="0.25">
      <c r="A50" s="8" t="s">
        <v>17</v>
      </c>
      <c r="B50" s="10" t="s">
        <v>154</v>
      </c>
    </row>
    <row r="51" spans="1:2" x14ac:dyDescent="0.25">
      <c r="A51" s="8" t="s">
        <v>18</v>
      </c>
      <c r="B51" s="10" t="s">
        <v>151</v>
      </c>
    </row>
    <row r="52" spans="1:2" x14ac:dyDescent="0.25">
      <c r="A52" s="8" t="s">
        <v>19</v>
      </c>
      <c r="B52" s="10" t="s">
        <v>160</v>
      </c>
    </row>
    <row r="53" spans="1:2" x14ac:dyDescent="0.25">
      <c r="A53" s="12" t="s">
        <v>20</v>
      </c>
      <c r="B53" s="34" t="s">
        <v>95</v>
      </c>
    </row>
    <row r="54" spans="1:2" ht="15.75" thickBot="1" x14ac:dyDescent="0.3">
      <c r="A54" s="37"/>
      <c r="B54" s="38"/>
    </row>
    <row r="55" spans="1:2" ht="15.75" thickBot="1" x14ac:dyDescent="0.3"/>
    <row r="56" spans="1:2" x14ac:dyDescent="0.25">
      <c r="A56" s="7" t="s">
        <v>14</v>
      </c>
      <c r="B56" s="39" t="s">
        <v>163</v>
      </c>
    </row>
    <row r="57" spans="1:2" x14ac:dyDescent="0.25">
      <c r="A57" s="8" t="s">
        <v>15</v>
      </c>
      <c r="B57" s="40" t="s">
        <v>129</v>
      </c>
    </row>
    <row r="58" spans="1:2" x14ac:dyDescent="0.25">
      <c r="A58" s="9"/>
      <c r="B58" s="40" t="s">
        <v>164</v>
      </c>
    </row>
    <row r="59" spans="1:2" x14ac:dyDescent="0.25">
      <c r="A59" s="9"/>
      <c r="B59" s="40" t="s">
        <v>165</v>
      </c>
    </row>
    <row r="60" spans="1:2" ht="15.75" thickBot="1" x14ac:dyDescent="0.3">
      <c r="A60" s="9"/>
      <c r="B60" s="11"/>
    </row>
    <row r="61" spans="1:2" ht="15.75" thickBot="1" x14ac:dyDescent="0.3">
      <c r="A61" s="33" t="s">
        <v>167</v>
      </c>
      <c r="B61" s="32" t="s">
        <v>168</v>
      </c>
    </row>
    <row r="62" spans="1:2" x14ac:dyDescent="0.25">
      <c r="A62" s="8" t="s">
        <v>16</v>
      </c>
      <c r="B62" s="10" t="s">
        <v>131</v>
      </c>
    </row>
    <row r="63" spans="1:2" x14ac:dyDescent="0.25">
      <c r="A63" s="8" t="s">
        <v>17</v>
      </c>
      <c r="B63" s="10" t="s">
        <v>169</v>
      </c>
    </row>
    <row r="64" spans="1:2" x14ac:dyDescent="0.25">
      <c r="A64" s="8" t="s">
        <v>18</v>
      </c>
      <c r="B64" s="10" t="s">
        <v>170</v>
      </c>
    </row>
    <row r="65" spans="1:2" x14ac:dyDescent="0.25">
      <c r="A65" s="8" t="s">
        <v>19</v>
      </c>
      <c r="B65" s="10" t="s">
        <v>171</v>
      </c>
    </row>
    <row r="66" spans="1:2" x14ac:dyDescent="0.25">
      <c r="A66" s="12" t="s">
        <v>20</v>
      </c>
      <c r="B66" s="34" t="s">
        <v>95</v>
      </c>
    </row>
    <row r="67" spans="1:2" ht="15.75" thickBot="1" x14ac:dyDescent="0.3">
      <c r="A67" s="37"/>
      <c r="B67" s="38"/>
    </row>
    <row r="68" spans="1:2" ht="15.75" thickBot="1" x14ac:dyDescent="0.3">
      <c r="A68" s="33" t="s">
        <v>172</v>
      </c>
      <c r="B68" s="32" t="s">
        <v>174</v>
      </c>
    </row>
    <row r="69" spans="1:2" x14ac:dyDescent="0.25">
      <c r="A69" s="8" t="s">
        <v>16</v>
      </c>
      <c r="B69" s="10" t="s">
        <v>180</v>
      </c>
    </row>
    <row r="70" spans="1:2" x14ac:dyDescent="0.25">
      <c r="A70" s="8" t="s">
        <v>17</v>
      </c>
      <c r="B70" s="10" t="s">
        <v>169</v>
      </c>
    </row>
    <row r="71" spans="1:2" x14ac:dyDescent="0.25">
      <c r="A71" s="8" t="s">
        <v>18</v>
      </c>
      <c r="B71" s="10" t="s">
        <v>173</v>
      </c>
    </row>
    <row r="72" spans="1:2" x14ac:dyDescent="0.25">
      <c r="A72" s="8" t="s">
        <v>19</v>
      </c>
      <c r="B72" s="10" t="s">
        <v>175</v>
      </c>
    </row>
    <row r="73" spans="1:2" x14ac:dyDescent="0.25">
      <c r="A73" s="12" t="s">
        <v>20</v>
      </c>
      <c r="B73" s="34" t="s">
        <v>95</v>
      </c>
    </row>
    <row r="74" spans="1:2" ht="15.75" thickBot="1" x14ac:dyDescent="0.3">
      <c r="A74" s="37"/>
      <c r="B74" s="38"/>
    </row>
    <row r="75" spans="1:2" ht="15.75" thickBot="1" x14ac:dyDescent="0.3">
      <c r="A75" s="33" t="s">
        <v>178</v>
      </c>
      <c r="B75" s="32" t="s">
        <v>177</v>
      </c>
    </row>
    <row r="76" spans="1:2" x14ac:dyDescent="0.25">
      <c r="A76" s="8" t="s">
        <v>16</v>
      </c>
      <c r="B76" s="10" t="s">
        <v>179</v>
      </c>
    </row>
    <row r="77" spans="1:2" x14ac:dyDescent="0.25">
      <c r="A77" s="8" t="s">
        <v>17</v>
      </c>
      <c r="B77" s="10" t="s">
        <v>169</v>
      </c>
    </row>
    <row r="78" spans="1:2" x14ac:dyDescent="0.25">
      <c r="A78" s="8" t="s">
        <v>18</v>
      </c>
      <c r="B78" s="10" t="s">
        <v>181</v>
      </c>
    </row>
    <row r="79" spans="1:2" x14ac:dyDescent="0.25">
      <c r="A79" s="8" t="s">
        <v>19</v>
      </c>
      <c r="B79" s="10" t="s">
        <v>171</v>
      </c>
    </row>
    <row r="80" spans="1:2" x14ac:dyDescent="0.25">
      <c r="A80" s="12" t="s">
        <v>20</v>
      </c>
      <c r="B80" s="34" t="s">
        <v>95</v>
      </c>
    </row>
    <row r="81" spans="1:2" ht="15.75" thickBot="1" x14ac:dyDescent="0.3">
      <c r="A81" s="37"/>
      <c r="B81" s="38"/>
    </row>
    <row r="82" spans="1:2" ht="15.75" thickBot="1" x14ac:dyDescent="0.3"/>
    <row r="83" spans="1:2" x14ac:dyDescent="0.25">
      <c r="A83" s="7" t="s">
        <v>14</v>
      </c>
      <c r="B83" s="39" t="s">
        <v>186</v>
      </c>
    </row>
    <row r="84" spans="1:2" x14ac:dyDescent="0.25">
      <c r="A84" s="8" t="s">
        <v>15</v>
      </c>
      <c r="B84" s="40" t="s">
        <v>129</v>
      </c>
    </row>
    <row r="85" spans="1:2" x14ac:dyDescent="0.25">
      <c r="A85" s="9"/>
      <c r="B85" s="40" t="s">
        <v>183</v>
      </c>
    </row>
    <row r="86" spans="1:2" x14ac:dyDescent="0.25">
      <c r="A86" s="9"/>
      <c r="B86" s="40" t="s">
        <v>165</v>
      </c>
    </row>
    <row r="87" spans="1:2" ht="15.75" thickBot="1" x14ac:dyDescent="0.3">
      <c r="A87" s="9"/>
      <c r="B87" s="11"/>
    </row>
    <row r="88" spans="1:2" ht="15.75" thickBot="1" x14ac:dyDescent="0.3">
      <c r="A88" s="33" t="s">
        <v>184</v>
      </c>
      <c r="B88" s="32" t="s">
        <v>182</v>
      </c>
    </row>
    <row r="89" spans="1:2" x14ac:dyDescent="0.25">
      <c r="A89" s="8" t="s">
        <v>16</v>
      </c>
      <c r="B89" s="10" t="s">
        <v>185</v>
      </c>
    </row>
    <row r="90" spans="1:2" x14ac:dyDescent="0.25">
      <c r="A90" s="8" t="s">
        <v>17</v>
      </c>
      <c r="B90" s="10" t="s">
        <v>187</v>
      </c>
    </row>
    <row r="91" spans="1:2" x14ac:dyDescent="0.25">
      <c r="A91" s="8" t="s">
        <v>18</v>
      </c>
      <c r="B91" s="10" t="s">
        <v>170</v>
      </c>
    </row>
    <row r="92" spans="1:2" x14ac:dyDescent="0.25">
      <c r="A92" s="8" t="s">
        <v>19</v>
      </c>
      <c r="B92" s="10" t="s">
        <v>188</v>
      </c>
    </row>
    <row r="93" spans="1:2" x14ac:dyDescent="0.25">
      <c r="A93" s="12" t="s">
        <v>20</v>
      </c>
      <c r="B93" s="34" t="s">
        <v>95</v>
      </c>
    </row>
    <row r="94" spans="1:2" ht="15.75" thickBot="1" x14ac:dyDescent="0.3">
      <c r="A94" s="37"/>
      <c r="B94" s="38"/>
    </row>
    <row r="95" spans="1:2" ht="15.75" thickBot="1" x14ac:dyDescent="0.3">
      <c r="A95" s="33" t="s">
        <v>189</v>
      </c>
      <c r="B95" s="32" t="s">
        <v>190</v>
      </c>
    </row>
    <row r="96" spans="1:2" x14ac:dyDescent="0.25">
      <c r="A96" s="8" t="s">
        <v>16</v>
      </c>
      <c r="B96" s="10" t="s">
        <v>191</v>
      </c>
    </row>
    <row r="97" spans="1:2" x14ac:dyDescent="0.25">
      <c r="A97" s="8" t="s">
        <v>17</v>
      </c>
      <c r="B97" s="10" t="s">
        <v>187</v>
      </c>
    </row>
    <row r="98" spans="1:2" x14ac:dyDescent="0.25">
      <c r="A98" s="8" t="s">
        <v>18</v>
      </c>
      <c r="B98" s="10" t="s">
        <v>192</v>
      </c>
    </row>
    <row r="99" spans="1:2" x14ac:dyDescent="0.25">
      <c r="A99" s="8" t="s">
        <v>19</v>
      </c>
      <c r="B99" s="10" t="s">
        <v>175</v>
      </c>
    </row>
    <row r="100" spans="1:2" x14ac:dyDescent="0.25">
      <c r="A100" s="12" t="s">
        <v>20</v>
      </c>
      <c r="B100" s="34" t="s">
        <v>95</v>
      </c>
    </row>
    <row r="101" spans="1:2" ht="15.75" thickBot="1" x14ac:dyDescent="0.3">
      <c r="A101" s="37"/>
      <c r="B101" s="3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3C8F5-BDF9-42D6-873D-DAC0BD643BE2}">
  <sheetPr>
    <tabColor rgb="FF92D050"/>
  </sheetPr>
  <dimension ref="A1:E11"/>
  <sheetViews>
    <sheetView showGridLines="0" tabSelected="1" topLeftCell="A4" zoomScaleNormal="100" workbookViewId="0">
      <selection activeCell="E9" sqref="E9"/>
    </sheetView>
  </sheetViews>
  <sheetFormatPr baseColWidth="10" defaultColWidth="11.5703125" defaultRowHeight="18.75" x14ac:dyDescent="0.25"/>
  <cols>
    <col min="1" max="1" width="36" style="4" bestFit="1" customWidth="1"/>
    <col min="2" max="2" width="30.28515625" style="4" bestFit="1" customWidth="1"/>
    <col min="3" max="3" width="58.7109375" style="4" bestFit="1" customWidth="1"/>
    <col min="4" max="4" width="12.140625" style="4" customWidth="1"/>
    <col min="5" max="5" width="61.7109375" style="4" customWidth="1"/>
    <col min="6" max="16384" width="11.5703125" style="4"/>
  </cols>
  <sheetData>
    <row r="1" spans="1:5" ht="19.5" thickBot="1" x14ac:dyDescent="0.3">
      <c r="A1" s="49" t="s">
        <v>38</v>
      </c>
      <c r="B1" s="47"/>
      <c r="C1" s="48"/>
    </row>
    <row r="2" spans="1:5" ht="41.45" customHeight="1" x14ac:dyDescent="0.25">
      <c r="A2" s="14" t="s">
        <v>23</v>
      </c>
      <c r="B2" s="57" t="s">
        <v>25</v>
      </c>
      <c r="C2" s="50"/>
      <c r="E2" s="13" t="s">
        <v>39</v>
      </c>
    </row>
    <row r="3" spans="1:5" ht="93.75" x14ac:dyDescent="0.25">
      <c r="A3" s="1" t="s">
        <v>24</v>
      </c>
      <c r="B3" s="1" t="s">
        <v>26</v>
      </c>
      <c r="C3" s="2" t="s">
        <v>40</v>
      </c>
    </row>
    <row r="4" spans="1:5" x14ac:dyDescent="0.25">
      <c r="A4" s="3" t="s">
        <v>27</v>
      </c>
      <c r="B4" s="3" t="s">
        <v>28</v>
      </c>
      <c r="C4" s="3" t="s">
        <v>29</v>
      </c>
    </row>
    <row r="5" spans="1:5" ht="54" customHeight="1" x14ac:dyDescent="0.25">
      <c r="A5" s="1" t="s">
        <v>33</v>
      </c>
      <c r="B5" s="58" t="s">
        <v>30</v>
      </c>
      <c r="C5" s="51"/>
    </row>
    <row r="6" spans="1:5" ht="54" customHeight="1" x14ac:dyDescent="0.25">
      <c r="A6" s="3" t="s">
        <v>32</v>
      </c>
      <c r="B6" s="52"/>
      <c r="C6" s="53"/>
    </row>
    <row r="7" spans="1:5" ht="54" customHeight="1" x14ac:dyDescent="0.25">
      <c r="A7" s="1" t="s">
        <v>31</v>
      </c>
      <c r="B7" s="54"/>
      <c r="C7" s="55"/>
    </row>
    <row r="8" spans="1:5" ht="75" x14ac:dyDescent="0.25">
      <c r="A8" s="3" t="s">
        <v>34</v>
      </c>
      <c r="B8" s="59" t="s">
        <v>35</v>
      </c>
      <c r="C8" s="56"/>
    </row>
    <row r="9" spans="1:5" ht="36" customHeight="1" x14ac:dyDescent="0.25">
      <c r="A9" s="44" t="s">
        <v>41</v>
      </c>
      <c r="B9" s="45"/>
      <c r="C9" s="46"/>
    </row>
    <row r="10" spans="1:5" ht="36" customHeight="1" x14ac:dyDescent="0.25">
      <c r="A10" s="59" t="s">
        <v>36</v>
      </c>
      <c r="B10" s="60"/>
      <c r="C10" s="56"/>
    </row>
    <row r="11" spans="1:5" ht="36.6" customHeight="1" x14ac:dyDescent="0.25">
      <c r="A11" s="52" t="s">
        <v>37</v>
      </c>
      <c r="B11" s="61"/>
      <c r="C11" s="53"/>
    </row>
  </sheetData>
  <mergeCells count="7">
    <mergeCell ref="A1:C1"/>
    <mergeCell ref="B2:C2"/>
    <mergeCell ref="B5:C7"/>
    <mergeCell ref="A9:C9"/>
    <mergeCell ref="A10:C10"/>
    <mergeCell ref="A11:C11"/>
    <mergeCell ref="B8:C8"/>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4</vt:i4>
      </vt:variant>
    </vt:vector>
  </HeadingPairs>
  <TitlesOfParts>
    <vt:vector size="8" baseType="lpstr">
      <vt:lpstr>Matriz de Riesgo</vt:lpstr>
      <vt:lpstr>CPTempetatura</vt:lpstr>
      <vt:lpstr>CPCalculadora</vt:lpstr>
      <vt:lpstr>InformeGestionIncidentes</vt:lpstr>
      <vt:lpstr>Accion</vt:lpstr>
      <vt:lpstr>Numero</vt:lpstr>
      <vt:lpstr>Tipo</vt:lpstr>
      <vt:lpstr>Tipos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Miguel-PC</dc:creator>
  <cp:lastModifiedBy>Miguel-PC</cp:lastModifiedBy>
  <dcterms:created xsi:type="dcterms:W3CDTF">2023-02-27T14:28:38Z</dcterms:created>
  <dcterms:modified xsi:type="dcterms:W3CDTF">2023-03-05T19:51:15Z</dcterms:modified>
</cp:coreProperties>
</file>